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501"/>
  <workbookPr defaultThemeVersion="124226"/>
  <mc:AlternateContent xmlns:mc="http://schemas.openxmlformats.org/markup-compatibility/2006">
    <mc:Choice Requires="x15">
      <x15ac:absPath xmlns:x15ac="http://schemas.microsoft.com/office/spreadsheetml/2010/11/ac" url="D:\OneDrive - eduhk\-수업 자료\엑셀\엑셀 함수\"/>
    </mc:Choice>
  </mc:AlternateContent>
  <xr:revisionPtr revIDLastSave="27" documentId="11_DC71961A17A7794FF9B86AD7699C0DC1124AAEDB" xr6:coauthVersionLast="47" xr6:coauthVersionMax="47" xr10:uidLastSave="{BCF653FB-4692-4AB4-B060-47C0391496DF}"/>
  <bookViews>
    <workbookView xWindow="480" yWindow="60" windowWidth="18195" windowHeight="11820" firstSheet="6" activeTab="8" xr2:uid="{00000000-000D-0000-FFFF-FFFF00000000}"/>
  </bookViews>
  <sheets>
    <sheet name="AVERAGE" sheetId="12" r:id="rId1"/>
    <sheet name="COUNT" sheetId="13" r:id="rId2"/>
    <sheet name="COUNTA" sheetId="14" r:id="rId3"/>
    <sheet name="COUNTIF" sheetId="15" r:id="rId4"/>
    <sheet name="MAX" sheetId="16" r:id="rId5"/>
    <sheet name="MIN" sheetId="17" r:id="rId6"/>
    <sheet name="LARGE" sheetId="18" r:id="rId7"/>
    <sheet name="SMALL" sheetId="19" r:id="rId8"/>
    <sheet name="RANK" sheetId="20" r:id="rId9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0" l="1"/>
  <c r="F6" i="20"/>
  <c r="F7" i="20"/>
  <c r="F4" i="20"/>
  <c r="F3" i="20"/>
  <c r="F4" i="19"/>
  <c r="F5" i="19"/>
  <c r="F6" i="19"/>
  <c r="F6" i="18"/>
  <c r="F5" i="18"/>
  <c r="F4" i="18"/>
  <c r="E5" i="17"/>
  <c r="E6" i="17"/>
  <c r="E7" i="17"/>
  <c r="E4" i="17"/>
  <c r="E5" i="16"/>
  <c r="E6" i="16"/>
  <c r="E7" i="16"/>
  <c r="E4" i="16"/>
  <c r="G6" i="15"/>
  <c r="G5" i="15"/>
  <c r="G4" i="15"/>
  <c r="D5" i="14"/>
  <c r="D6" i="14"/>
  <c r="D7" i="14"/>
  <c r="D4" i="14"/>
  <c r="D5" i="13"/>
  <c r="D6" i="13"/>
  <c r="D7" i="13"/>
  <c r="D4" i="13"/>
  <c r="D5" i="12"/>
  <c r="D6" i="12"/>
  <c r="D7" i="12"/>
  <c r="D4" i="12"/>
  <c r="C7" i="13"/>
  <c r="E3" i="20" l="1"/>
  <c r="E4" i="20"/>
  <c r="E5" i="20"/>
  <c r="E6" i="20"/>
  <c r="E7" i="20"/>
  <c r="D4" i="15" l="1"/>
  <c r="D5" i="15"/>
  <c r="D6" i="15"/>
  <c r="D7" i="15"/>
  <c r="D8" i="15"/>
  <c r="D9" i="15"/>
  <c r="D10" i="15"/>
  <c r="C7" i="14" l="1"/>
</calcChain>
</file>

<file path=xl/sharedStrings.xml><?xml version="1.0" encoding="utf-8"?>
<sst xmlns="http://schemas.openxmlformats.org/spreadsheetml/2006/main" count="72" uniqueCount="49">
  <si>
    <t>평균계산</t>
    <phoneticPr fontId="3" type="noConversion"/>
  </si>
  <si>
    <t>숫자1</t>
    <phoneticPr fontId="3" type="noConversion"/>
  </si>
  <si>
    <t>숫자2</t>
    <phoneticPr fontId="3" type="noConversion"/>
  </si>
  <si>
    <t>숫자3</t>
    <phoneticPr fontId="3" type="noConversion"/>
  </si>
  <si>
    <t>평균</t>
    <phoneticPr fontId="3" type="noConversion"/>
  </si>
  <si>
    <t>자료수 세기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</si>
  <si>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</si>
  <si>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</si>
  <si>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</si>
  <si>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자료의 수</t>
    <phoneticPr fontId="3" type="noConversion"/>
  </si>
  <si>
    <t>엑셀</t>
    <phoneticPr fontId="3" type="noConversion"/>
  </si>
  <si>
    <t>4</t>
    <phoneticPr fontId="3" type="noConversion"/>
  </si>
  <si>
    <t>판매현황</t>
    <phoneticPr fontId="3" type="noConversion"/>
  </si>
  <si>
    <t>품목별 판매건수</t>
    <phoneticPr fontId="3" type="noConversion"/>
  </si>
  <si>
    <t>품목</t>
    <phoneticPr fontId="3" type="noConversion"/>
  </si>
  <si>
    <t>수량</t>
    <phoneticPr fontId="3" type="noConversion"/>
  </si>
  <si>
    <t>단가</t>
    <phoneticPr fontId="3" type="noConversion"/>
  </si>
  <si>
    <t>금액</t>
    <phoneticPr fontId="3" type="noConversion"/>
  </si>
  <si>
    <t>건수</t>
    <phoneticPr fontId="3" type="noConversion"/>
  </si>
  <si>
    <t>냉장고</t>
    <phoneticPr fontId="3" type="noConversion"/>
  </si>
  <si>
    <t>컴퓨터</t>
    <phoneticPr fontId="3" type="noConversion"/>
  </si>
  <si>
    <t>캠코더</t>
    <phoneticPr fontId="3" type="noConversion"/>
  </si>
  <si>
    <t xml:space="preserve">           </t>
    <phoneticPr fontId="3" type="noConversion"/>
  </si>
  <si>
    <t>가장 큰 수 찾기</t>
    <phoneticPr fontId="3" type="noConversion"/>
  </si>
  <si>
    <t>숫자4</t>
    <phoneticPr fontId="3" type="noConversion"/>
  </si>
  <si>
    <t>가장 큰수</t>
    <phoneticPr fontId="3" type="noConversion"/>
  </si>
  <si>
    <t>가장 작은 수 찾기</t>
    <phoneticPr fontId="3" type="noConversion"/>
  </si>
  <si>
    <t>가장 작은 수</t>
    <phoneticPr fontId="3" type="noConversion"/>
  </si>
  <si>
    <t>지정된 큰수 찾기</t>
    <phoneticPr fontId="3" type="noConversion"/>
  </si>
  <si>
    <t>숫자</t>
    <phoneticPr fontId="3" type="noConversion"/>
  </si>
  <si>
    <t>제일 큰수</t>
    <phoneticPr fontId="3" type="noConversion"/>
  </si>
  <si>
    <t>두번째 큰수</t>
    <phoneticPr fontId="3" type="noConversion"/>
  </si>
  <si>
    <t>세번째 큰수</t>
    <phoneticPr fontId="3" type="noConversion"/>
  </si>
  <si>
    <t>지정된 작은 수 찾기</t>
    <phoneticPr fontId="3" type="noConversion"/>
  </si>
  <si>
    <t>제일 작은 수</t>
    <phoneticPr fontId="3" type="noConversion"/>
  </si>
  <si>
    <t>두번째 작은 수</t>
    <phoneticPr fontId="3" type="noConversion"/>
  </si>
  <si>
    <t>세번째 작은 수</t>
    <phoneticPr fontId="3" type="noConversion"/>
  </si>
  <si>
    <t>성적표</t>
    <phoneticPr fontId="3" type="noConversion"/>
  </si>
  <si>
    <t>성명</t>
    <phoneticPr fontId="3" type="noConversion"/>
  </si>
  <si>
    <t>국어</t>
    <phoneticPr fontId="3" type="noConversion"/>
  </si>
  <si>
    <t>영어</t>
    <phoneticPr fontId="3" type="noConversion"/>
  </si>
  <si>
    <t>수학</t>
    <phoneticPr fontId="3" type="noConversion"/>
  </si>
  <si>
    <t>총점</t>
    <phoneticPr fontId="3" type="noConversion"/>
  </si>
  <si>
    <t>순위</t>
    <phoneticPr fontId="3" type="noConversion"/>
  </si>
  <si>
    <t>고아라</t>
    <phoneticPr fontId="3" type="noConversion"/>
  </si>
  <si>
    <t>나영희</t>
    <phoneticPr fontId="3" type="noConversion"/>
  </si>
  <si>
    <t>박철수</t>
    <phoneticPr fontId="3" type="noConversion"/>
  </si>
  <si>
    <t>안도해</t>
    <phoneticPr fontId="3" type="noConversion"/>
  </si>
  <si>
    <t>최순이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</si>
</sst>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\-* #,##0_-;_-* &quot;-&quot;_-;_-@_-"/>
    <numFmt numFmtId="165" formatCode="#,##0_ "/>
  </numFmts>
  <fonts count="7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1" fillId="0" borderId="0"/>
    <xf numFmtId="164" fontId="1" fillId="0" borderId="0" applyFont="0" applyFill="0" applyBorder="0" applyAlignment="0" applyProtection="0"/>
    <xf numFmtId="0" fontId="1" fillId="0" borderId="0">
      <alignment vertical="center"/>
    </xf>
    <xf numFmtId="16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4" fillId="0" borderId="0" xfId="1" applyFont="1"/>
    <xf numFmtId="0" fontId="4" fillId="0" borderId="0" xfId="3" applyFont="1">
      <alignment vertical="center"/>
    </xf>
    <xf numFmtId="0" fontId="4" fillId="2" borderId="8" xfId="3" applyFont="1" applyFill="1" applyBorder="1" applyAlignment="1">
      <alignment horizontal="center" vertical="center"/>
    </xf>
    <xf numFmtId="164" fontId="5" fillId="0" borderId="3" xfId="4" applyFont="1" applyBorder="1">
      <alignment vertical="center"/>
    </xf>
    <xf numFmtId="164" fontId="5" fillId="0" borderId="4" xfId="4" applyFont="1" applyBorder="1">
      <alignment vertical="center"/>
    </xf>
    <xf numFmtId="0" fontId="4" fillId="0" borderId="5" xfId="3" applyFont="1" applyBorder="1" applyAlignment="1">
      <alignment horizontal="center" vertical="center"/>
    </xf>
    <xf numFmtId="164" fontId="5" fillId="0" borderId="6" xfId="4" applyFont="1" applyBorder="1">
      <alignment vertical="center"/>
    </xf>
    <xf numFmtId="164" fontId="5" fillId="0" borderId="2" xfId="4" applyFont="1" applyBorder="1">
      <alignment vertical="center"/>
    </xf>
    <xf numFmtId="0" fontId="4" fillId="0" borderId="7" xfId="3" applyFont="1" applyBorder="1" applyAlignment="1">
      <alignment horizontal="center" vertical="center"/>
    </xf>
    <xf numFmtId="0" fontId="4" fillId="0" borderId="7" xfId="3" applyFont="1" applyFill="1" applyBorder="1" applyAlignment="1">
      <alignment horizontal="center" vertical="center"/>
    </xf>
    <xf numFmtId="0" fontId="4" fillId="0" borderId="2" xfId="3" applyFont="1" applyFill="1" applyBorder="1" applyAlignment="1">
      <alignment horizontal="center" vertical="center"/>
    </xf>
    <xf numFmtId="0" fontId="4" fillId="0" borderId="2" xfId="3" applyFont="1" applyBorder="1" applyAlignment="1">
      <alignment horizontal="center" vertical="center"/>
    </xf>
    <xf numFmtId="0" fontId="5" fillId="0" borderId="4" xfId="4" applyNumberFormat="1" applyFont="1" applyBorder="1">
      <alignment vertical="center"/>
    </xf>
    <xf numFmtId="0" fontId="5" fillId="0" borderId="5" xfId="4" applyNumberFormat="1" applyFont="1" applyBorder="1">
      <alignment vertical="center"/>
    </xf>
    <xf numFmtId="0" fontId="5" fillId="0" borderId="6" xfId="4" applyNumberFormat="1" applyFont="1" applyBorder="1">
      <alignment vertical="center"/>
    </xf>
    <xf numFmtId="0" fontId="5" fillId="0" borderId="2" xfId="4" applyNumberFormat="1" applyFont="1" applyBorder="1">
      <alignment vertical="center"/>
    </xf>
    <xf numFmtId="0" fontId="5" fillId="0" borderId="7" xfId="4" applyNumberFormat="1" applyFont="1" applyBorder="1">
      <alignment vertical="center"/>
    </xf>
    <xf numFmtId="0" fontId="4" fillId="0" borderId="9" xfId="3" applyFont="1" applyFill="1" applyBorder="1" applyAlignment="1">
      <alignment horizontal="center" vertical="center"/>
    </xf>
    <xf numFmtId="0" fontId="4" fillId="0" borderId="10" xfId="3" applyFont="1" applyFill="1" applyBorder="1" applyAlignment="1">
      <alignment horizontal="center" vertical="center"/>
    </xf>
    <xf numFmtId="164" fontId="4" fillId="0" borderId="4" xfId="4" applyFont="1" applyBorder="1" applyAlignment="1">
      <alignment horizontal="center" vertical="center"/>
    </xf>
    <xf numFmtId="164" fontId="4" fillId="0" borderId="5" xfId="4" quotePrefix="1" applyNumberFormat="1" applyFont="1" applyBorder="1" applyAlignment="1">
      <alignment horizontal="left" vertical="center"/>
    </xf>
    <xf numFmtId="0" fontId="4" fillId="0" borderId="6" xfId="3" applyNumberFormat="1" applyFont="1" applyBorder="1" applyAlignment="1">
      <alignment horizontal="center" vertical="center"/>
    </xf>
    <xf numFmtId="164" fontId="4" fillId="0" borderId="2" xfId="4" applyFont="1" applyBorder="1" applyAlignment="1">
      <alignment horizontal="center" vertical="center"/>
    </xf>
    <xf numFmtId="165" fontId="4" fillId="0" borderId="7" xfId="4" applyNumberFormat="1" applyFont="1" applyBorder="1" applyAlignment="1">
      <alignment horizontal="left" vertical="center"/>
    </xf>
    <xf numFmtId="18" fontId="4" fillId="0" borderId="2" xfId="4" applyNumberFormat="1" applyFont="1" applyBorder="1" applyAlignment="1">
      <alignment horizontal="center" vertical="center"/>
    </xf>
    <xf numFmtId="164" fontId="4" fillId="0" borderId="7" xfId="4" applyNumberFormat="1" applyFont="1" applyBorder="1" applyAlignment="1">
      <alignment horizontal="center" vertical="center"/>
    </xf>
    <xf numFmtId="14" fontId="4" fillId="0" borderId="7" xfId="4" applyNumberFormat="1" applyFont="1" applyBorder="1" applyAlignment="1">
      <alignment horizontal="center" vertical="center"/>
    </xf>
    <xf numFmtId="0" fontId="4" fillId="0" borderId="6" xfId="3" applyFont="1" applyBorder="1" applyAlignment="1">
      <alignment horizontal="center" vertical="center"/>
    </xf>
    <xf numFmtId="0" fontId="4" fillId="0" borderId="4" xfId="3" applyFont="1" applyBorder="1" applyAlignment="1">
      <alignment horizontal="center" vertical="center"/>
    </xf>
    <xf numFmtId="0" fontId="5" fillId="0" borderId="3" xfId="4" applyNumberFormat="1" applyFont="1" applyBorder="1" applyAlignment="1">
      <alignment horizontal="center" vertical="center"/>
    </xf>
    <xf numFmtId="0" fontId="5" fillId="0" borderId="6" xfId="4" applyNumberFormat="1" applyFont="1" applyBorder="1" applyAlignment="1">
      <alignment horizontal="center" vertical="center"/>
    </xf>
    <xf numFmtId="0" fontId="4" fillId="0" borderId="8" xfId="3" applyFont="1" applyFill="1" applyBorder="1" applyAlignment="1">
      <alignment horizontal="center" vertical="center"/>
    </xf>
    <xf numFmtId="0" fontId="5" fillId="0" borderId="4" xfId="4" applyNumberFormat="1" applyFont="1" applyBorder="1" applyAlignment="1">
      <alignment horizontal="center" vertical="center"/>
    </xf>
    <xf numFmtId="0" fontId="5" fillId="0" borderId="5" xfId="4" applyNumberFormat="1" applyFont="1" applyBorder="1" applyAlignment="1">
      <alignment horizontal="center" vertical="center"/>
    </xf>
    <xf numFmtId="0" fontId="5" fillId="0" borderId="2" xfId="4" applyNumberFormat="1" applyFont="1" applyBorder="1" applyAlignment="1">
      <alignment horizontal="center" vertical="center"/>
    </xf>
    <xf numFmtId="0" fontId="5" fillId="0" borderId="7" xfId="4" applyNumberFormat="1" applyFont="1" applyBorder="1" applyAlignment="1">
      <alignment horizontal="center" vertical="center"/>
    </xf>
    <xf numFmtId="0" fontId="4" fillId="2" borderId="8" xfId="3" applyNumberFormat="1" applyFont="1" applyFill="1" applyBorder="1" applyAlignment="1">
      <alignment horizontal="center" vertical="center"/>
    </xf>
    <xf numFmtId="0" fontId="4" fillId="0" borderId="9" xfId="3" applyNumberFormat="1" applyFont="1" applyFill="1" applyBorder="1" applyAlignment="1">
      <alignment horizontal="center" vertical="center"/>
    </xf>
    <xf numFmtId="0" fontId="4" fillId="0" borderId="10" xfId="3" applyNumberFormat="1" applyFont="1" applyFill="1" applyBorder="1" applyAlignment="1">
      <alignment horizontal="center" vertical="center"/>
    </xf>
    <xf numFmtId="0" fontId="4" fillId="2" borderId="5" xfId="3" applyFont="1" applyFill="1" applyBorder="1" applyAlignment="1">
      <alignment horizontal="left" vertical="center"/>
    </xf>
    <xf numFmtId="0" fontId="4" fillId="2" borderId="7" xfId="3" applyFont="1" applyFill="1" applyBorder="1" applyAlignment="1">
      <alignment horizontal="left" vertical="center"/>
    </xf>
    <xf numFmtId="0" fontId="4" fillId="0" borderId="8" xfId="3" applyNumberFormat="1" applyFont="1" applyBorder="1" applyAlignment="1">
      <alignment horizontal="center" vertical="center"/>
    </xf>
    <xf numFmtId="0" fontId="4" fillId="2" borderId="10" xfId="3" applyFont="1" applyFill="1" applyBorder="1" applyAlignment="1">
      <alignment horizontal="left" vertical="center"/>
    </xf>
    <xf numFmtId="0" fontId="4" fillId="0" borderId="2" xfId="1" applyNumberFormat="1" applyFont="1" applyBorder="1" applyAlignment="1">
      <alignment horizontal="center"/>
    </xf>
    <xf numFmtId="0" fontId="4" fillId="2" borderId="2" xfId="1" applyNumberFormat="1" applyFont="1" applyFill="1" applyBorder="1" applyAlignment="1">
      <alignment horizontal="center"/>
    </xf>
    <xf numFmtId="0" fontId="4" fillId="0" borderId="2" xfId="1" applyNumberFormat="1" applyFont="1" applyFill="1" applyBorder="1" applyAlignment="1">
      <alignment horizontal="center"/>
    </xf>
    <xf numFmtId="0" fontId="4" fillId="0" borderId="0" xfId="3" quotePrefix="1" applyFont="1">
      <alignment vertical="center"/>
    </xf>
    <xf numFmtId="0" fontId="6" fillId="0" borderId="0" xfId="3" applyFont="1" applyAlignment="1">
      <alignment horizontal="center" vertical="center"/>
    </xf>
    <xf numFmtId="0" fontId="4" fillId="0" borderId="11" xfId="3" applyFont="1" applyFill="1" applyBorder="1" applyAlignment="1">
      <alignment horizontal="center" vertical="center"/>
    </xf>
    <xf numFmtId="0" fontId="4" fillId="0" borderId="12" xfId="3" applyFont="1" applyFill="1" applyBorder="1" applyAlignment="1">
      <alignment horizontal="center" vertical="center"/>
    </xf>
    <xf numFmtId="0" fontId="4" fillId="0" borderId="13" xfId="3" applyFont="1" applyFill="1" applyBorder="1" applyAlignment="1">
      <alignment horizontal="center" vertical="center"/>
    </xf>
    <xf numFmtId="0" fontId="6" fillId="0" borderId="1" xfId="1" applyFont="1" applyBorder="1" applyAlignment="1">
      <alignment horizontal="center"/>
    </xf>
  </cellXfs>
  <cellStyles count="6">
    <cellStyle name="백분율 2" xfId="5" xr:uid="{00000000-0005-0000-0000-000000000000}"/>
    <cellStyle name="쉼표 [0] 2" xfId="2" xr:uid="{00000000-0005-0000-0000-000001000000}"/>
    <cellStyle name="쉼표 [0] 2 2" xfId="4" xr:uid="{00000000-0005-0000-0000-000002000000}"/>
    <cellStyle name="표준" xfId="0" builtinId="0"/>
    <cellStyle name="표준 2" xfId="1" xr:uid="{00000000-0005-0000-0000-000004000000}"/>
    <cellStyle name="표준 2 2" xfId="3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7"/>
  <sheetViews>
    <sheetView workbookViewId="0">
      <selection activeCell="D4" sqref="D4:D7"/>
    </sheetView>
  </sheetViews>
  <sheetFormatPr defaultRowHeight="16.5"/>
  <cols>
    <col min="1" max="4" width="8.375" style="2" customWidth="1"/>
    <col min="5" max="16384" width="9" style="2"/>
  </cols>
  <sheetData>
    <row r="1" spans="1:4">
      <c r="A1" s="48" t="s">
        <v>0</v>
      </c>
      <c r="B1" s="48"/>
      <c r="C1" s="48"/>
      <c r="D1" s="48"/>
    </row>
    <row r="2" spans="1:4" ht="17.25" thickBot="1"/>
    <row r="3" spans="1:4">
      <c r="A3" s="19" t="s">
        <v>1</v>
      </c>
      <c r="B3" s="18" t="s">
        <v>2</v>
      </c>
      <c r="C3" s="18" t="s">
        <v>3</v>
      </c>
      <c r="D3" s="3" t="s">
        <v>4</v>
      </c>
    </row>
    <row r="4" spans="1:4">
      <c r="A4" s="17">
        <v>5.5</v>
      </c>
      <c r="B4" s="16">
        <v>6.5</v>
      </c>
      <c r="C4" s="16">
        <v>7.5</v>
      </c>
      <c r="D4" s="15">
        <f>AVERAGE(A4:C4)</f>
        <v>6.5</v>
      </c>
    </row>
    <row r="5" spans="1:4">
      <c r="A5" s="17">
        <v>20</v>
      </c>
      <c r="B5" s="16">
        <v>30</v>
      </c>
      <c r="C5" s="16">
        <v>40</v>
      </c>
      <c r="D5" s="15">
        <f t="shared" ref="D5:D7" si="0">AVERAGE(A5:C5)</f>
        <v>30</v>
      </c>
    </row>
    <row r="6" spans="1:4">
      <c r="A6" s="17">
        <v>0</v>
      </c>
      <c r="B6" s="16">
        <v>30</v>
      </c>
      <c r="C6" s="16">
        <v>26</v>
      </c>
      <c r="D6" s="15">
        <f t="shared" si="0"/>
        <v>18.666666666666668</v>
      </c>
    </row>
    <row r="7" spans="1:4">
      <c r="A7" s="14">
        <v>8</v>
      </c>
      <c r="B7" s="13"/>
      <c r="C7" s="13">
        <v>10</v>
      </c>
      <c r="D7" s="15">
        <f t="shared" si="0"/>
        <v>9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0"/>
  <sheetViews>
    <sheetView zoomScaleNormal="100" workbookViewId="0">
      <selection activeCell="E5" sqref="E5"/>
    </sheetView>
  </sheetViews>
  <sheetFormatPr defaultRowHeight="16.5"/>
  <cols>
    <col min="1" max="1" width="12.875" style="2" bestFit="1" customWidth="1"/>
    <col min="2" max="2" width="8.875" style="2" bestFit="1" customWidth="1"/>
    <col min="3" max="3" width="7.875" style="2" bestFit="1" customWidth="1"/>
    <col min="4" max="16384" width="9" style="2"/>
  </cols>
  <sheetData>
    <row r="1" spans="1:4">
      <c r="A1" s="48" t="s">
        <v>5</v>
      </c>
      <c r="B1" s="48"/>
      <c r="C1" s="48"/>
      <c r="D1" s="48"/>
    </row>
    <row r="2" spans="1:4" ht="17.25" thickBot="1"/>
    <row r="3" spans="1:4">
      <c r="A3" s="19" t="s">
        <v>6</v>
      </c>
      <c r="B3" s="18" t="s">
        <v>7</v>
      </c>
      <c r="C3" s="18" t="s">
        <v>8</v>
      </c>
      <c r="D3" s="3" t="s">
        <v>9</v>
      </c>
    </row>
    <row r="4" spans="1:4">
      <c r="A4" s="27">
        <v>42992</v>
      </c>
      <c r="B4" s="23">
        <v>52</v>
      </c>
      <c r="C4" s="23"/>
      <c r="D4" s="22">
        <f>COUNT(A4:C4)</f>
        <v>2</v>
      </c>
    </row>
    <row r="5" spans="1:4">
      <c r="A5" s="26" t="b">
        <v>1</v>
      </c>
      <c r="B5" s="25">
        <v>4.2361111111111106E-2</v>
      </c>
      <c r="C5" s="23">
        <v>85</v>
      </c>
      <c r="D5" s="22">
        <f t="shared" ref="D5:D7" si="0">COUNT(A5:C5)</f>
        <v>2</v>
      </c>
    </row>
    <row r="6" spans="1:4">
      <c r="A6" s="24" t="s">
        <v>10</v>
      </c>
      <c r="B6" s="23"/>
      <c r="C6" s="23">
        <v>67</v>
      </c>
      <c r="D6" s="22">
        <f t="shared" si="0"/>
        <v>1</v>
      </c>
    </row>
    <row r="7" spans="1:4" ht="17.25" thickBot="1">
      <c r="A7" s="21" t="s">
        <v>11</v>
      </c>
      <c r="B7" s="20">
        <v>92</v>
      </c>
      <c r="C7" s="20" t="e">
        <f>5/0</f>
        <v>#DIV/0!</v>
      </c>
      <c r="D7" s="22">
        <f t="shared" si="0"/>
        <v>1</v>
      </c>
    </row>
    <row r="10" spans="1:4">
      <c r="A10" s="47"/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7"/>
  <sheetViews>
    <sheetView workbookViewId="0">
      <selection activeCell="E6" sqref="E6"/>
    </sheetView>
  </sheetViews>
  <sheetFormatPr defaultRowHeight="16.5"/>
  <cols>
    <col min="1" max="1" width="12.875" style="2" bestFit="1" customWidth="1"/>
    <col min="2" max="2" width="8.875" style="2" bestFit="1" customWidth="1"/>
    <col min="3" max="3" width="7.875" style="2" bestFit="1" customWidth="1"/>
    <col min="4" max="16384" width="9" style="2"/>
  </cols>
  <sheetData>
    <row r="1" spans="1:4">
      <c r="A1" s="48" t="s">
        <v>5</v>
      </c>
      <c r="B1" s="48"/>
      <c r="C1" s="48"/>
      <c r="D1" s="48"/>
    </row>
    <row r="2" spans="1:4" ht="17.25" thickBot="1"/>
    <row r="3" spans="1:4">
      <c r="A3" s="19" t="s">
        <v>6</v>
      </c>
      <c r="B3" s="18" t="s">
        <v>7</v>
      </c>
      <c r="C3" s="18" t="s">
        <v>8</v>
      </c>
      <c r="D3" s="3" t="s">
        <v>9</v>
      </c>
    </row>
    <row r="4" spans="1:4">
      <c r="A4" s="27">
        <v>42992</v>
      </c>
      <c r="B4" s="23">
        <v>52</v>
      </c>
      <c r="C4" s="23"/>
      <c r="D4" s="28">
        <f>COUNTA(A4:C4)</f>
        <v>2</v>
      </c>
    </row>
    <row r="5" spans="1:4">
      <c r="A5" s="26" t="b">
        <v>1</v>
      </c>
      <c r="B5" s="25">
        <v>4.2361111111111106E-2</v>
      </c>
      <c r="C5" s="23">
        <v>85</v>
      </c>
      <c r="D5" s="28">
        <f t="shared" ref="D5:D7" si="0">COUNTA(A5:C5)</f>
        <v>3</v>
      </c>
    </row>
    <row r="6" spans="1:4">
      <c r="A6" s="24" t="s">
        <v>10</v>
      </c>
      <c r="B6" s="23"/>
      <c r="C6" s="23">
        <v>67</v>
      </c>
      <c r="D6" s="28">
        <f t="shared" si="0"/>
        <v>2</v>
      </c>
    </row>
    <row r="7" spans="1:4" ht="17.25" thickBot="1">
      <c r="A7" s="21" t="s">
        <v>11</v>
      </c>
      <c r="B7" s="20">
        <v>92</v>
      </c>
      <c r="C7" s="20" t="e">
        <f>5/0</f>
        <v>#DIV/0!</v>
      </c>
      <c r="D7" s="28">
        <f t="shared" si="0"/>
        <v>3</v>
      </c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10"/>
  <sheetViews>
    <sheetView workbookViewId="0">
      <selection activeCell="G5" sqref="G5:G6"/>
    </sheetView>
  </sheetViews>
  <sheetFormatPr defaultRowHeight="16.5"/>
  <cols>
    <col min="1" max="1" width="6.625" style="2" customWidth="1"/>
    <col min="2" max="2" width="4.875" style="2" customWidth="1"/>
    <col min="3" max="3" width="6.375" style="2" customWidth="1"/>
    <col min="4" max="4" width="8.125" style="2" customWidth="1"/>
    <col min="5" max="5" width="1.75" style="2" customWidth="1"/>
    <col min="6" max="6" width="9.125" style="2" customWidth="1"/>
    <col min="7" max="7" width="8.75" style="2" customWidth="1"/>
    <col min="8" max="16384" width="9" style="2"/>
  </cols>
  <sheetData>
    <row r="1" spans="1:9">
      <c r="A1" s="48" t="s">
        <v>12</v>
      </c>
      <c r="B1" s="48"/>
      <c r="C1" s="48"/>
      <c r="D1" s="48"/>
      <c r="F1" s="48" t="s">
        <v>13</v>
      </c>
      <c r="G1" s="48"/>
    </row>
    <row r="2" spans="1:9" ht="17.25" thickBot="1"/>
    <row r="3" spans="1:9">
      <c r="A3" s="19" t="s">
        <v>14</v>
      </c>
      <c r="B3" s="18" t="s">
        <v>15</v>
      </c>
      <c r="C3" s="18" t="s">
        <v>16</v>
      </c>
      <c r="D3" s="32" t="s">
        <v>17</v>
      </c>
      <c r="F3" s="19" t="s">
        <v>14</v>
      </c>
      <c r="G3" s="3" t="s">
        <v>18</v>
      </c>
    </row>
    <row r="4" spans="1:9">
      <c r="A4" s="9" t="s">
        <v>19</v>
      </c>
      <c r="B4" s="12">
        <v>6</v>
      </c>
      <c r="C4" s="8">
        <v>250</v>
      </c>
      <c r="D4" s="7">
        <f t="shared" ref="D4:D10" si="0">B4*C4</f>
        <v>1500</v>
      </c>
      <c r="F4" s="9" t="s">
        <v>20</v>
      </c>
      <c r="G4" s="31">
        <f>COUNTIF($A$3:$A$10,"컴퓨터")</f>
        <v>3</v>
      </c>
    </row>
    <row r="5" spans="1:9">
      <c r="A5" s="9" t="s">
        <v>20</v>
      </c>
      <c r="B5" s="12">
        <v>8</v>
      </c>
      <c r="C5" s="8">
        <v>300</v>
      </c>
      <c r="D5" s="7">
        <f t="shared" si="0"/>
        <v>2400</v>
      </c>
      <c r="F5" s="9" t="s">
        <v>21</v>
      </c>
      <c r="G5" s="31">
        <f>COUNTIF(A4:$A$10,F5)</f>
        <v>2</v>
      </c>
    </row>
    <row r="6" spans="1:9">
      <c r="A6" s="9" t="s">
        <v>19</v>
      </c>
      <c r="B6" s="12">
        <v>5</v>
      </c>
      <c r="C6" s="8">
        <v>250</v>
      </c>
      <c r="D6" s="7">
        <f t="shared" si="0"/>
        <v>1250</v>
      </c>
      <c r="F6" s="6" t="s">
        <v>19</v>
      </c>
      <c r="G6" s="31">
        <f>COUNTIF(A5:$A$10,F6)</f>
        <v>1</v>
      </c>
      <c r="I6" s="2" t="s">
        <v>22</v>
      </c>
    </row>
    <row r="7" spans="1:9">
      <c r="A7" s="9" t="s">
        <v>21</v>
      </c>
      <c r="B7" s="12">
        <v>7</v>
      </c>
      <c r="C7" s="8">
        <v>500</v>
      </c>
      <c r="D7" s="7">
        <f t="shared" si="0"/>
        <v>3500</v>
      </c>
    </row>
    <row r="8" spans="1:9">
      <c r="A8" s="10" t="s">
        <v>20</v>
      </c>
      <c r="B8" s="11">
        <v>10</v>
      </c>
      <c r="C8" s="8">
        <v>300</v>
      </c>
      <c r="D8" s="7">
        <f t="shared" si="0"/>
        <v>3000</v>
      </c>
    </row>
    <row r="9" spans="1:9">
      <c r="A9" s="9" t="s">
        <v>21</v>
      </c>
      <c r="B9" s="12">
        <v>5</v>
      </c>
      <c r="C9" s="8">
        <v>500</v>
      </c>
      <c r="D9" s="7">
        <f t="shared" si="0"/>
        <v>2500</v>
      </c>
    </row>
    <row r="10" spans="1:9" ht="17.25" thickBot="1">
      <c r="A10" s="6" t="s">
        <v>20</v>
      </c>
      <c r="B10" s="29">
        <v>7</v>
      </c>
      <c r="C10" s="5">
        <v>300</v>
      </c>
      <c r="D10" s="4">
        <f t="shared" si="0"/>
        <v>2100</v>
      </c>
    </row>
  </sheetData>
  <mergeCells count="2">
    <mergeCell ref="A1:D1"/>
    <mergeCell ref="F1:G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7"/>
  <sheetViews>
    <sheetView workbookViewId="0">
      <selection activeCell="E4" sqref="E4:E7"/>
    </sheetView>
  </sheetViews>
  <sheetFormatPr defaultRowHeight="16.5"/>
  <cols>
    <col min="1" max="1" width="5.75" style="2" customWidth="1"/>
    <col min="2" max="2" width="5.875" style="2" customWidth="1"/>
    <col min="3" max="4" width="6.125" style="2" customWidth="1"/>
    <col min="5" max="5" width="9.625" style="2" bestFit="1" customWidth="1"/>
    <col min="6" max="16384" width="9" style="2"/>
  </cols>
  <sheetData>
    <row r="1" spans="1:5">
      <c r="A1" s="48" t="s">
        <v>23</v>
      </c>
      <c r="B1" s="48"/>
      <c r="C1" s="48"/>
      <c r="D1" s="48"/>
      <c r="E1" s="48"/>
    </row>
    <row r="2" spans="1:5" ht="17.25" thickBot="1"/>
    <row r="3" spans="1:5">
      <c r="A3" s="39" t="s">
        <v>1</v>
      </c>
      <c r="B3" s="38" t="s">
        <v>2</v>
      </c>
      <c r="C3" s="38" t="s">
        <v>3</v>
      </c>
      <c r="D3" s="38" t="s">
        <v>24</v>
      </c>
      <c r="E3" s="37" t="s">
        <v>25</v>
      </c>
    </row>
    <row r="4" spans="1:5">
      <c r="A4" s="36">
        <v>12</v>
      </c>
      <c r="B4" s="35">
        <v>21</v>
      </c>
      <c r="C4" s="35">
        <v>18</v>
      </c>
      <c r="D4" s="35">
        <v>5</v>
      </c>
      <c r="E4" s="22">
        <f>MAX(A4:D4)</f>
        <v>21</v>
      </c>
    </row>
    <row r="5" spans="1:5">
      <c r="A5" s="36">
        <v>5</v>
      </c>
      <c r="B5" s="35">
        <v>2</v>
      </c>
      <c r="C5" s="35">
        <v>19</v>
      </c>
      <c r="D5" s="35">
        <v>21</v>
      </c>
      <c r="E5" s="22">
        <f t="shared" ref="E5:E7" si="0">MAX(A5:D5)</f>
        <v>21</v>
      </c>
    </row>
    <row r="6" spans="1:5">
      <c r="A6" s="36">
        <v>7</v>
      </c>
      <c r="B6" s="35">
        <v>16</v>
      </c>
      <c r="C6" s="35">
        <v>18</v>
      </c>
      <c r="D6" s="35">
        <v>14</v>
      </c>
      <c r="E6" s="22">
        <f t="shared" si="0"/>
        <v>18</v>
      </c>
    </row>
    <row r="7" spans="1:5">
      <c r="A7" s="34">
        <v>4</v>
      </c>
      <c r="B7" s="33">
        <v>15</v>
      </c>
      <c r="C7" s="33">
        <v>24</v>
      </c>
      <c r="D7" s="33">
        <v>2</v>
      </c>
      <c r="E7" s="22">
        <f t="shared" si="0"/>
        <v>24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E7"/>
  <sheetViews>
    <sheetView workbookViewId="0">
      <selection activeCell="E4" sqref="E4:E7"/>
    </sheetView>
  </sheetViews>
  <sheetFormatPr defaultRowHeight="16.5"/>
  <cols>
    <col min="1" max="1" width="5.75" style="2" customWidth="1"/>
    <col min="2" max="2" width="5.875" style="2" customWidth="1"/>
    <col min="3" max="4" width="6.125" style="2" customWidth="1"/>
    <col min="5" max="5" width="12.375" style="2" bestFit="1" customWidth="1"/>
    <col min="6" max="16384" width="9" style="2"/>
  </cols>
  <sheetData>
    <row r="1" spans="1:5">
      <c r="A1" s="48" t="s">
        <v>26</v>
      </c>
      <c r="B1" s="48"/>
      <c r="C1" s="48"/>
      <c r="D1" s="48"/>
      <c r="E1" s="48"/>
    </row>
    <row r="2" spans="1:5" ht="17.25" thickBot="1"/>
    <row r="3" spans="1:5">
      <c r="A3" s="39" t="s">
        <v>1</v>
      </c>
      <c r="B3" s="38" t="s">
        <v>2</v>
      </c>
      <c r="C3" s="38" t="s">
        <v>3</v>
      </c>
      <c r="D3" s="38" t="s">
        <v>24</v>
      </c>
      <c r="E3" s="37" t="s">
        <v>27</v>
      </c>
    </row>
    <row r="4" spans="1:5">
      <c r="A4" s="36">
        <v>12</v>
      </c>
      <c r="B4" s="35">
        <v>21</v>
      </c>
      <c r="C4" s="35">
        <v>18</v>
      </c>
      <c r="D4" s="35">
        <v>5</v>
      </c>
      <c r="E4" s="22">
        <f>MIN(A4:D4)</f>
        <v>5</v>
      </c>
    </row>
    <row r="5" spans="1:5">
      <c r="A5" s="36">
        <v>5</v>
      </c>
      <c r="B5" s="35">
        <v>2</v>
      </c>
      <c r="C5" s="35">
        <v>19</v>
      </c>
      <c r="D5" s="35">
        <v>21</v>
      </c>
      <c r="E5" s="22">
        <f t="shared" ref="E5:E7" si="0">MIN(A5:D5)</f>
        <v>2</v>
      </c>
    </row>
    <row r="6" spans="1:5">
      <c r="A6" s="36">
        <v>7</v>
      </c>
      <c r="B6" s="35">
        <v>16</v>
      </c>
      <c r="C6" s="35">
        <v>18</v>
      </c>
      <c r="D6" s="35">
        <v>14</v>
      </c>
      <c r="E6" s="22">
        <f t="shared" si="0"/>
        <v>7</v>
      </c>
    </row>
    <row r="7" spans="1:5">
      <c r="A7" s="34">
        <v>4</v>
      </c>
      <c r="B7" s="33">
        <v>15</v>
      </c>
      <c r="C7" s="33">
        <v>24</v>
      </c>
      <c r="D7" s="33">
        <v>2</v>
      </c>
      <c r="E7" s="22">
        <f t="shared" si="0"/>
        <v>2</v>
      </c>
    </row>
  </sheetData>
  <mergeCells count="1">
    <mergeCell ref="A1:E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7"/>
  <sheetViews>
    <sheetView workbookViewId="0">
      <selection activeCell="F7" sqref="F7"/>
    </sheetView>
  </sheetViews>
  <sheetFormatPr defaultRowHeight="16.5"/>
  <cols>
    <col min="1" max="1" width="5.75" style="2" customWidth="1"/>
    <col min="2" max="2" width="5.875" style="2" customWidth="1"/>
    <col min="3" max="3" width="6.125" style="2" customWidth="1"/>
    <col min="4" max="4" width="2.25" style="2" customWidth="1"/>
    <col min="5" max="5" width="11.625" style="2" customWidth="1"/>
    <col min="6" max="6" width="8" style="2" customWidth="1"/>
    <col min="7" max="16384" width="9" style="2"/>
  </cols>
  <sheetData>
    <row r="1" spans="1:6">
      <c r="A1" s="48" t="s">
        <v>28</v>
      </c>
      <c r="B1" s="48"/>
      <c r="C1" s="48"/>
      <c r="D1" s="48"/>
      <c r="E1" s="48"/>
      <c r="F1" s="48"/>
    </row>
    <row r="2" spans="1:6" ht="17.25" thickBot="1"/>
    <row r="3" spans="1:6" ht="17.25" thickBot="1">
      <c r="A3" s="49" t="s">
        <v>29</v>
      </c>
      <c r="B3" s="50"/>
      <c r="C3" s="51"/>
    </row>
    <row r="4" spans="1:6">
      <c r="A4" s="36">
        <v>12</v>
      </c>
      <c r="B4" s="35">
        <v>21</v>
      </c>
      <c r="C4" s="31">
        <v>18</v>
      </c>
      <c r="E4" s="43" t="s">
        <v>30</v>
      </c>
      <c r="F4" s="42">
        <f>LARGE(A4:$C$4,1)</f>
        <v>21</v>
      </c>
    </row>
    <row r="5" spans="1:6">
      <c r="A5" s="36">
        <v>5</v>
      </c>
      <c r="B5" s="35">
        <v>2</v>
      </c>
      <c r="C5" s="31">
        <v>19</v>
      </c>
      <c r="E5" s="41" t="s">
        <v>31</v>
      </c>
      <c r="F5" s="42">
        <f>LARGE(A$4:$C5,2)</f>
        <v>19</v>
      </c>
    </row>
    <row r="6" spans="1:6">
      <c r="A6" s="36">
        <v>7</v>
      </c>
      <c r="B6" s="35">
        <v>16</v>
      </c>
      <c r="C6" s="31">
        <v>18</v>
      </c>
      <c r="E6" s="40" t="s">
        <v>32</v>
      </c>
      <c r="F6" s="42">
        <f>LARGE(A$4:$C6,3)</f>
        <v>18</v>
      </c>
    </row>
    <row r="7" spans="1:6">
      <c r="A7" s="34">
        <v>4</v>
      </c>
      <c r="B7" s="33">
        <v>15</v>
      </c>
      <c r="C7" s="30">
        <v>24</v>
      </c>
    </row>
  </sheetData>
  <mergeCells count="2">
    <mergeCell ref="A1:F1"/>
    <mergeCell ref="A3:C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F7"/>
  <sheetViews>
    <sheetView workbookViewId="0">
      <selection activeCell="F4" sqref="F4"/>
    </sheetView>
  </sheetViews>
  <sheetFormatPr defaultRowHeight="16.5"/>
  <cols>
    <col min="1" max="1" width="5.75" style="2" customWidth="1"/>
    <col min="2" max="2" width="5.875" style="2" customWidth="1"/>
    <col min="3" max="3" width="6.125" style="2" customWidth="1"/>
    <col min="4" max="4" width="2.25" style="2" customWidth="1"/>
    <col min="5" max="5" width="14.5" style="2" bestFit="1" customWidth="1"/>
    <col min="6" max="6" width="8" style="2" customWidth="1"/>
    <col min="7" max="16384" width="9" style="2"/>
  </cols>
  <sheetData>
    <row r="1" spans="1:6">
      <c r="A1" s="48" t="s">
        <v>33</v>
      </c>
      <c r="B1" s="48"/>
      <c r="C1" s="48"/>
      <c r="D1" s="48"/>
      <c r="E1" s="48"/>
      <c r="F1" s="48"/>
    </row>
    <row r="2" spans="1:6" ht="17.25" thickBot="1"/>
    <row r="3" spans="1:6" ht="17.25" thickBot="1">
      <c r="A3" s="49" t="s">
        <v>29</v>
      </c>
      <c r="B3" s="50"/>
      <c r="C3" s="51"/>
    </row>
    <row r="4" spans="1:6">
      <c r="A4" s="36">
        <v>12</v>
      </c>
      <c r="B4" s="35">
        <v>21</v>
      </c>
      <c r="C4" s="31">
        <v>18</v>
      </c>
      <c r="E4" s="43" t="s">
        <v>34</v>
      </c>
      <c r="F4" s="42">
        <f>SMALL(A4:$C$4,1)</f>
        <v>12</v>
      </c>
    </row>
    <row r="5" spans="1:6">
      <c r="A5" s="36">
        <v>5</v>
      </c>
      <c r="B5" s="35">
        <v>2</v>
      </c>
      <c r="C5" s="31">
        <v>19</v>
      </c>
      <c r="E5" s="41" t="s">
        <v>35</v>
      </c>
      <c r="F5" s="42">
        <f>SMALL(A$4:$C5,1)</f>
        <v>2</v>
      </c>
    </row>
    <row r="6" spans="1:6">
      <c r="A6" s="36">
        <v>7</v>
      </c>
      <c r="B6" s="35">
        <v>16</v>
      </c>
      <c r="C6" s="31">
        <v>18</v>
      </c>
      <c r="E6" s="40" t="s">
        <v>36</v>
      </c>
      <c r="F6" s="42">
        <f>SMALL(A$4:$C6,1)</f>
        <v>2</v>
      </c>
    </row>
    <row r="7" spans="1:6">
      <c r="A7" s="34">
        <v>4</v>
      </c>
      <c r="B7" s="33">
        <v>15</v>
      </c>
      <c r="C7" s="30">
        <v>24</v>
      </c>
    </row>
  </sheetData>
  <mergeCells count="2">
    <mergeCell ref="A1:F1"/>
    <mergeCell ref="A3:C3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7"/>
  <sheetViews>
    <sheetView tabSelected="1" zoomScaleNormal="100" workbookViewId="0">
      <selection activeCell="F4" sqref="F4:F7"/>
    </sheetView>
  </sheetViews>
  <sheetFormatPr defaultRowHeight="16.5"/>
  <cols>
    <col min="1" max="1" width="7.375" style="1" bestFit="1" customWidth="1"/>
    <col min="2" max="5" width="8.375" style="1" customWidth="1"/>
    <col min="6" max="6" width="7.125" style="1" customWidth="1"/>
    <col min="7" max="16384" width="9" style="1"/>
  </cols>
  <sheetData>
    <row r="1" spans="1:6">
      <c r="A1" s="52" t="s">
        <v>37</v>
      </c>
      <c r="B1" s="52"/>
      <c r="C1" s="52"/>
      <c r="D1" s="52"/>
      <c r="E1" s="52"/>
      <c r="F1" s="52"/>
    </row>
    <row r="2" spans="1:6">
      <c r="A2" s="46" t="s">
        <v>38</v>
      </c>
      <c r="B2" s="46" t="s">
        <v>39</v>
      </c>
      <c r="C2" s="46" t="s">
        <v>40</v>
      </c>
      <c r="D2" s="46" t="s">
        <v>41</v>
      </c>
      <c r="E2" s="46" t="s">
        <v>42</v>
      </c>
      <c r="F2" s="45" t="s">
        <v>43</v>
      </c>
    </row>
    <row r="3" spans="1:6">
      <c r="A3" s="44" t="s">
        <v>44</v>
      </c>
      <c r="B3" s="44">
        <v>72</v>
      </c>
      <c r="C3" s="44">
        <v>90</v>
      </c>
      <c r="D3" s="44">
        <v>78</v>
      </c>
      <c r="E3" s="44">
        <f>SUM(B3:D3)</f>
        <v>240</v>
      </c>
      <c r="F3" s="44">
        <f>RANK(E3,E3:$E$7,0)</f>
        <v>2</v>
      </c>
    </row>
    <row r="4" spans="1:6">
      <c r="A4" s="44" t="s">
        <v>45</v>
      </c>
      <c r="B4" s="44">
        <v>88</v>
      </c>
      <c r="C4" s="44">
        <v>80</v>
      </c>
      <c r="D4" s="44">
        <v>72</v>
      </c>
      <c r="E4" s="44">
        <f>SUM(B4:D4)</f>
        <v>240</v>
      </c>
      <c r="F4" s="44">
        <f>RANK(E4,E4:$E$7,5)</f>
        <v>3</v>
      </c>
    </row>
    <row r="5" spans="1:6">
      <c r="A5" s="44" t="s">
        <v>46</v>
      </c>
      <c r="B5" s="44">
        <v>75</v>
      </c>
      <c r="C5" s="44">
        <v>98</v>
      </c>
      <c r="D5" s="44">
        <v>75</v>
      </c>
      <c r="E5" s="44">
        <f>SUM(B5:D5)</f>
        <v>248</v>
      </c>
      <c r="F5" s="44">
        <f>RANK(E5,E5:$E$7,5)</f>
        <v>3</v>
      </c>
    </row>
    <row r="6" spans="1:6">
      <c r="A6" s="44" t="s">
        <v>47</v>
      </c>
      <c r="B6" s="44"/>
      <c r="C6" s="44">
        <v>100</v>
      </c>
      <c r="D6" s="44">
        <v>100</v>
      </c>
      <c r="E6" s="44">
        <f>SUM(B6:D6)</f>
        <v>200</v>
      </c>
      <c r="F6" s="44">
        <f>RANK(E6,E6:$E$7,5)</f>
        <v>2</v>
      </c>
    </row>
    <row r="7" spans="1:6">
      <c r="A7" s="44" t="s">
        <v>48</v>
      </c>
      <c r="B7" s="44">
        <v>85</v>
      </c>
      <c r="C7" s="44"/>
      <c r="D7" s="44">
        <v>85</v>
      </c>
      <c r="E7" s="44">
        <f>SUM(B7:D7)</f>
        <v>170</v>
      </c>
      <c r="F7" s="44">
        <f>RANK(E7,E7:$E$7,5)</f>
        <v>1</v>
      </c>
    </row>
  </sheetData>
  <mergeCells count="1">
    <mergeCell ref="A1:F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길벗R&amp;D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김종일</dc:creator>
  <cp:keywords/>
  <dc:description/>
  <cp:lastModifiedBy>게스트 사용자</cp:lastModifiedBy>
  <cp:revision/>
  <dcterms:created xsi:type="dcterms:W3CDTF">2011-06-14T11:49:17Z</dcterms:created>
  <dcterms:modified xsi:type="dcterms:W3CDTF">2021-09-03T03:47:09Z</dcterms:modified>
  <cp:category/>
  <cp:contentStatus/>
</cp:coreProperties>
</file>
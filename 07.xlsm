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0915 이원찬\엑셀 함수\엑셀 함수\"/>
    </mc:Choice>
  </mc:AlternateContent>
  <bookViews>
    <workbookView xWindow="480" yWindow="60" windowWidth="18195" windowHeight="11820" activeTab="5"/>
  </bookViews>
  <sheets>
    <sheet name="DSUM" sheetId="33" r:id="rId1"/>
    <sheet name="DAVERAGE" sheetId="34" r:id="rId2"/>
    <sheet name="DMAX" sheetId="35" r:id="rId3"/>
    <sheet name="DMIN" sheetId="36" r:id="rId4"/>
    <sheet name="DCOUNT" sheetId="37" r:id="rId5"/>
    <sheet name="DCOUNTA" sheetId="38" r:id="rId6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38" l="1"/>
  <c r="D13" i="38"/>
  <c r="C13" i="38"/>
  <c r="E13" i="37"/>
  <c r="D13" i="37"/>
  <c r="C13" i="37"/>
  <c r="F4" i="37"/>
  <c r="F5" i="37"/>
  <c r="F6" i="37"/>
  <c r="F7" i="37"/>
  <c r="F8" i="37"/>
  <c r="F3" i="37"/>
  <c r="D13" i="36"/>
  <c r="E13" i="36"/>
  <c r="C13" i="36"/>
  <c r="F4" i="36"/>
  <c r="F5" i="36"/>
  <c r="F6" i="36"/>
  <c r="F7" i="36"/>
  <c r="F8" i="36"/>
  <c r="F3" i="36"/>
  <c r="D13" i="35"/>
  <c r="E13" i="35"/>
  <c r="C13" i="35"/>
  <c r="F4" i="35"/>
  <c r="F5" i="35"/>
  <c r="F6" i="35"/>
  <c r="F7" i="35"/>
  <c r="F8" i="35"/>
  <c r="F3" i="35"/>
  <c r="D13" i="34"/>
  <c r="E13" i="34"/>
  <c r="C13" i="34"/>
  <c r="F4" i="34"/>
  <c r="F5" i="34"/>
  <c r="F6" i="34"/>
  <c r="F7" i="34"/>
  <c r="F8" i="34"/>
  <c r="F3" i="34"/>
  <c r="D13" i="33"/>
  <c r="E13" i="33"/>
  <c r="C13" i="33"/>
  <c r="F4" i="33"/>
  <c r="F5" i="33"/>
  <c r="F6" i="33"/>
  <c r="F7" i="33"/>
  <c r="F8" i="33"/>
  <c r="F3" i="33"/>
  <c r="F3" i="38" l="1"/>
  <c r="F4" i="38"/>
  <c r="F5" i="38"/>
  <c r="F6" i="38"/>
  <c r="F7" i="38"/>
  <c r="F8" i="38"/>
</calcChain>
</file>

<file path=xl/sharedStrings.xml><?xml version="1.0" encoding="utf-8"?>
<sst xmlns="http://schemas.openxmlformats.org/spreadsheetml/2006/main" count="118" uniqueCount="19">
  <si>
    <t>과일 판매 현황</t>
    <phoneticPr fontId="5" type="noConversion"/>
  </si>
  <si>
    <t>날짜</t>
    <phoneticPr fontId="5" type="noConversion"/>
  </si>
  <si>
    <t>품명</t>
    <phoneticPr fontId="5" type="noConversion"/>
  </si>
  <si>
    <t>수량</t>
    <phoneticPr fontId="5" type="noConversion"/>
  </si>
  <si>
    <t>단가</t>
    <phoneticPr fontId="5" type="noConversion"/>
  </si>
  <si>
    <t>금액</t>
    <phoneticPr fontId="5" type="noConversion"/>
  </si>
  <si>
    <t>SUM(범위)</t>
    <phoneticPr fontId="4" type="noConversion"/>
  </si>
  <si>
    <t>사과</t>
    <phoneticPr fontId="5" type="noConversion"/>
  </si>
  <si>
    <t>DSUM(범위, 필드위치, 조건)</t>
    <phoneticPr fontId="4" type="noConversion"/>
  </si>
  <si>
    <t>배</t>
    <phoneticPr fontId="5" type="noConversion"/>
  </si>
  <si>
    <t>감</t>
    <phoneticPr fontId="5" type="noConversion"/>
  </si>
  <si>
    <t>품목별 판매 수량의 합계</t>
    <phoneticPr fontId="5" type="noConversion"/>
  </si>
  <si>
    <r>
      <t>품목별 금액의</t>
    </r>
    <r>
      <rPr>
        <sz val="11"/>
        <color theme="1"/>
        <rFont val="맑은 고딕"/>
        <family val="3"/>
        <charset val="129"/>
      </rPr>
      <t xml:space="preserve"> 평균</t>
    </r>
    <phoneticPr fontId="5" type="noConversion"/>
  </si>
  <si>
    <t>품목별 최대 판매 금액</t>
    <phoneticPr fontId="5" type="noConversion"/>
  </si>
  <si>
    <r>
      <t>품목별 최소</t>
    </r>
    <r>
      <rPr>
        <sz val="11"/>
        <color theme="1"/>
        <rFont val="맑은 고딕"/>
        <family val="3"/>
        <charset val="129"/>
      </rPr>
      <t xml:space="preserve"> 판매 금액</t>
    </r>
    <phoneticPr fontId="5" type="noConversion"/>
  </si>
  <si>
    <t>취소</t>
    <phoneticPr fontId="5" type="noConversion"/>
  </si>
  <si>
    <t>품목별 판매 건수</t>
    <phoneticPr fontId="5" type="noConversion"/>
  </si>
  <si>
    <t>주문수량</t>
    <phoneticPr fontId="5" type="noConversion"/>
  </si>
  <si>
    <r>
      <t>품목별 주문</t>
    </r>
    <r>
      <rPr>
        <sz val="11"/>
        <color theme="1"/>
        <rFont val="맑은 고딕"/>
        <family val="3"/>
        <charset val="129"/>
      </rPr>
      <t xml:space="preserve"> 건수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</si>
</sst>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2">
    <xf numFmtId="0" fontId="0" fillId="0" borderId="0" xfId="0">
      <alignment vertical="center"/>
    </xf>
    <xf numFmtId="0" fontId="6" fillId="0" borderId="0" xfId="3" applyFont="1">
      <alignment vertical="center"/>
    </xf>
    <xf numFmtId="0" fontId="6" fillId="0" borderId="1" xfId="3" applyFont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0" borderId="6" xfId="3" applyFont="1" applyFill="1" applyBorder="1" applyAlignment="1">
      <alignment horizontal="center" vertical="center"/>
    </xf>
    <xf numFmtId="0" fontId="6" fillId="0" borderId="7" xfId="3" applyFont="1" applyFill="1" applyBorder="1" applyAlignment="1">
      <alignment horizontal="center" vertical="center"/>
    </xf>
    <xf numFmtId="0" fontId="6" fillId="0" borderId="8" xfId="3" applyFont="1" applyFill="1" applyBorder="1" applyAlignment="1">
      <alignment horizontal="center" vertical="center"/>
    </xf>
    <xf numFmtId="0" fontId="6" fillId="0" borderId="4" xfId="3" applyFont="1" applyFill="1" applyBorder="1" applyAlignment="1">
      <alignment horizontal="center" vertical="center"/>
    </xf>
    <xf numFmtId="0" fontId="6" fillId="0" borderId="3" xfId="3" applyFont="1" applyFill="1" applyBorder="1" applyAlignment="1">
      <alignment horizontal="center" vertical="center"/>
    </xf>
    <xf numFmtId="0" fontId="6" fillId="0" borderId="2" xfId="3" applyFont="1" applyFill="1" applyBorder="1" applyAlignment="1">
      <alignment horizontal="center" vertical="center"/>
    </xf>
    <xf numFmtId="41" fontId="6" fillId="0" borderId="0" xfId="4" applyFont="1" applyBorder="1">
      <alignment vertical="center"/>
    </xf>
    <xf numFmtId="0" fontId="6" fillId="0" borderId="10" xfId="3" applyFont="1" applyBorder="1">
      <alignment vertical="center"/>
    </xf>
    <xf numFmtId="0" fontId="6" fillId="0" borderId="10" xfId="3" applyFont="1" applyBorder="1" applyAlignment="1">
      <alignment horizontal="center" vertical="center"/>
    </xf>
    <xf numFmtId="41" fontId="6" fillId="0" borderId="11" xfId="4" applyFont="1" applyBorder="1">
      <alignment vertical="center"/>
    </xf>
    <xf numFmtId="41" fontId="6" fillId="0" borderId="1" xfId="7" applyFont="1" applyBorder="1">
      <alignment vertical="center"/>
    </xf>
    <xf numFmtId="0" fontId="6" fillId="0" borderId="12" xfId="3" applyFont="1" applyBorder="1" applyAlignment="1">
      <alignment horizontal="center" vertical="center"/>
    </xf>
    <xf numFmtId="0" fontId="6" fillId="2" borderId="11" xfId="3" applyFont="1" applyFill="1" applyBorder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41" fontId="6" fillId="0" borderId="5" xfId="3" applyNumberFormat="1" applyFont="1" applyBorder="1">
      <alignment vertical="center"/>
    </xf>
    <xf numFmtId="0" fontId="6" fillId="0" borderId="1" xfId="3" applyFont="1" applyFill="1" applyBorder="1" applyAlignment="1">
      <alignment horizontal="center" vertical="center"/>
    </xf>
    <xf numFmtId="0" fontId="6" fillId="0" borderId="13" xfId="3" applyFont="1" applyFill="1" applyBorder="1" applyAlignment="1">
      <alignment horizontal="center" vertical="center"/>
    </xf>
    <xf numFmtId="0" fontId="6" fillId="0" borderId="14" xfId="3" applyFont="1" applyFill="1" applyBorder="1" applyAlignment="1">
      <alignment horizontal="center" vertical="center"/>
    </xf>
    <xf numFmtId="41" fontId="6" fillId="0" borderId="15" xfId="3" applyNumberFormat="1" applyFont="1" applyBorder="1" applyAlignment="1">
      <alignment horizontal="center" vertical="center"/>
    </xf>
    <xf numFmtId="41" fontId="6" fillId="0" borderId="15" xfId="3" applyNumberFormat="1" applyFont="1" applyBorder="1">
      <alignment vertical="center"/>
    </xf>
    <xf numFmtId="0" fontId="6" fillId="0" borderId="0" xfId="3" applyFont="1" applyBorder="1" applyAlignment="1">
      <alignment horizontal="center" vertical="center"/>
    </xf>
    <xf numFmtId="0" fontId="6" fillId="0" borderId="0" xfId="3" applyFont="1" applyBorder="1">
      <alignment vertical="center"/>
    </xf>
    <xf numFmtId="0" fontId="6" fillId="2" borderId="2" xfId="3" applyFont="1" applyFill="1" applyBorder="1" applyAlignment="1">
      <alignment horizontal="center" vertical="center"/>
    </xf>
    <xf numFmtId="0" fontId="6" fillId="2" borderId="17" xfId="3" applyFont="1" applyFill="1" applyBorder="1" applyAlignment="1">
      <alignment horizontal="center" vertical="center"/>
    </xf>
    <xf numFmtId="0" fontId="6" fillId="2" borderId="3" xfId="3" applyFont="1" applyFill="1" applyBorder="1" applyAlignment="1">
      <alignment horizontal="center" vertical="center"/>
    </xf>
    <xf numFmtId="0" fontId="6" fillId="2" borderId="4" xfId="3" applyFont="1" applyFill="1" applyBorder="1" applyAlignment="1">
      <alignment horizontal="center" vertical="center"/>
    </xf>
    <xf numFmtId="0" fontId="6" fillId="0" borderId="13" xfId="3" applyFont="1" applyBorder="1" applyAlignment="1">
      <alignment horizontal="center" vertical="center"/>
    </xf>
    <xf numFmtId="41" fontId="6" fillId="0" borderId="14" xfId="4" applyFont="1" applyBorder="1">
      <alignment vertical="center"/>
    </xf>
    <xf numFmtId="0" fontId="6" fillId="0" borderId="15" xfId="3" applyFont="1" applyBorder="1" applyAlignment="1">
      <alignment horizontal="center" vertical="center"/>
    </xf>
    <xf numFmtId="0" fontId="6" fillId="0" borderId="18" xfId="3" applyFont="1" applyBorder="1" applyAlignment="1">
      <alignment horizontal="center" vertical="center"/>
    </xf>
    <xf numFmtId="0" fontId="6" fillId="0" borderId="16" xfId="3" applyFont="1" applyBorder="1" applyAlignment="1">
      <alignment horizontal="center" vertical="center"/>
    </xf>
    <xf numFmtId="41" fontId="6" fillId="0" borderId="16" xfId="7" applyFont="1" applyBorder="1">
      <alignment vertical="center"/>
    </xf>
    <xf numFmtId="0" fontId="7" fillId="0" borderId="0" xfId="3" applyFont="1" applyAlignment="1">
      <alignment horizontal="center" vertical="center"/>
    </xf>
    <xf numFmtId="0" fontId="6" fillId="0" borderId="10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6" fillId="0" borderId="10" xfId="3" applyFont="1" applyFill="1" applyBorder="1" applyAlignment="1">
      <alignment vertical="center"/>
    </xf>
    <xf numFmtId="0" fontId="6" fillId="0" borderId="0" xfId="3" applyFont="1" applyBorder="1" applyAlignment="1">
      <alignment vertical="center"/>
    </xf>
  </cellXfs>
  <cellStyles count="9">
    <cellStyle name="백분율 2" xfId="5"/>
    <cellStyle name="쉼표 [0]" xfId="7" builtinId="6"/>
    <cellStyle name="쉼표 [0] 2" xfId="2"/>
    <cellStyle name="쉼표 [0] 2 2" xfId="4"/>
    <cellStyle name="표준" xfId="0" builtinId="0"/>
    <cellStyle name="표준 2" xfId="1"/>
    <cellStyle name="표준 2 2" xfId="3"/>
    <cellStyle name="표준 3" xfId="6"/>
    <cellStyle name="표준 4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3"/>
  <sheetViews>
    <sheetView zoomScale="175" zoomScaleNormal="175" workbookViewId="0">
      <selection activeCell="D13" sqref="D13"/>
    </sheetView>
  </sheetViews>
  <sheetFormatPr defaultRowHeight="16.5" x14ac:dyDescent="0.3"/>
  <cols>
    <col min="1" max="1" width="1.375" style="1" customWidth="1"/>
    <col min="2" max="2" width="4.25" style="1" customWidth="1"/>
    <col min="3" max="3" width="9.125" style="1" customWidth="1"/>
    <col min="4" max="4" width="8.625" style="1" customWidth="1"/>
    <col min="5" max="6" width="8.125" style="1" customWidth="1"/>
    <col min="7" max="7" width="9" style="1"/>
    <col min="8" max="8" width="28" style="1" bestFit="1" customWidth="1"/>
    <col min="9" max="16384" width="9" style="1"/>
  </cols>
  <sheetData>
    <row r="1" spans="2:8" ht="19.5" customHeight="1" x14ac:dyDescent="0.3">
      <c r="C1" s="39" t="s">
        <v>0</v>
      </c>
      <c r="D1" s="39"/>
      <c r="E1" s="39"/>
      <c r="F1" s="39"/>
    </row>
    <row r="2" spans="2:8" x14ac:dyDescent="0.3">
      <c r="B2" s="17" t="s">
        <v>1</v>
      </c>
      <c r="C2" s="17" t="s">
        <v>2</v>
      </c>
      <c r="D2" s="3" t="s">
        <v>3</v>
      </c>
      <c r="E2" s="3" t="s">
        <v>4</v>
      </c>
      <c r="F2" s="16" t="s">
        <v>5</v>
      </c>
      <c r="H2" s="1" t="s">
        <v>6</v>
      </c>
    </row>
    <row r="3" spans="2:8" x14ac:dyDescent="0.3">
      <c r="B3" s="15">
        <v>1</v>
      </c>
      <c r="C3" s="15" t="s">
        <v>7</v>
      </c>
      <c r="D3" s="2">
        <v>10</v>
      </c>
      <c r="E3" s="14">
        <v>100</v>
      </c>
      <c r="F3" s="13">
        <f>D3*E3</f>
        <v>1000</v>
      </c>
      <c r="H3" s="1" t="s">
        <v>8</v>
      </c>
    </row>
    <row r="4" spans="2:8" x14ac:dyDescent="0.3">
      <c r="B4" s="15">
        <v>1</v>
      </c>
      <c r="C4" s="15" t="s">
        <v>9</v>
      </c>
      <c r="D4" s="2">
        <v>20</v>
      </c>
      <c r="E4" s="14">
        <v>200</v>
      </c>
      <c r="F4" s="13">
        <f t="shared" ref="F4:F8" si="0">D4*E4</f>
        <v>4000</v>
      </c>
    </row>
    <row r="5" spans="2:8" x14ac:dyDescent="0.3">
      <c r="B5" s="15">
        <v>1</v>
      </c>
      <c r="C5" s="15" t="s">
        <v>9</v>
      </c>
      <c r="D5" s="2">
        <v>30</v>
      </c>
      <c r="E5" s="14">
        <v>200</v>
      </c>
      <c r="F5" s="13">
        <f t="shared" si="0"/>
        <v>6000</v>
      </c>
    </row>
    <row r="6" spans="2:8" x14ac:dyDescent="0.3">
      <c r="B6" s="15">
        <v>2</v>
      </c>
      <c r="C6" s="15" t="s">
        <v>7</v>
      </c>
      <c r="D6" s="2">
        <v>20</v>
      </c>
      <c r="E6" s="14">
        <v>100</v>
      </c>
      <c r="F6" s="13">
        <f t="shared" si="0"/>
        <v>2000</v>
      </c>
    </row>
    <row r="7" spans="2:8" x14ac:dyDescent="0.3">
      <c r="B7" s="15">
        <v>2</v>
      </c>
      <c r="C7" s="15" t="s">
        <v>9</v>
      </c>
      <c r="D7" s="2">
        <v>20</v>
      </c>
      <c r="E7" s="14">
        <v>200</v>
      </c>
      <c r="F7" s="13">
        <f t="shared" si="0"/>
        <v>4000</v>
      </c>
    </row>
    <row r="8" spans="2:8" x14ac:dyDescent="0.3">
      <c r="B8" s="15">
        <v>2</v>
      </c>
      <c r="C8" s="15" t="s">
        <v>10</v>
      </c>
      <c r="D8" s="2">
        <v>30</v>
      </c>
      <c r="E8" s="14">
        <v>300</v>
      </c>
      <c r="F8" s="13">
        <f t="shared" si="0"/>
        <v>9000</v>
      </c>
    </row>
    <row r="9" spans="2:8" ht="10.5" customHeight="1" x14ac:dyDescent="0.3">
      <c r="C9" s="12"/>
      <c r="D9" s="11"/>
      <c r="E9" s="11"/>
      <c r="F9" s="10"/>
    </row>
    <row r="10" spans="2:8" ht="17.25" thickBot="1" x14ac:dyDescent="0.35">
      <c r="C10" s="40" t="s">
        <v>11</v>
      </c>
      <c r="D10" s="40"/>
      <c r="E10" s="40"/>
    </row>
    <row r="11" spans="2:8" x14ac:dyDescent="0.3">
      <c r="B11" s="41"/>
      <c r="C11" s="9" t="s">
        <v>2</v>
      </c>
      <c r="D11" s="8" t="s">
        <v>2</v>
      </c>
      <c r="E11" s="7" t="s">
        <v>2</v>
      </c>
    </row>
    <row r="12" spans="2:8" x14ac:dyDescent="0.3">
      <c r="B12" s="41"/>
      <c r="C12" s="20" t="s">
        <v>7</v>
      </c>
      <c r="D12" s="19" t="s">
        <v>9</v>
      </c>
      <c r="E12" s="21" t="s">
        <v>10</v>
      </c>
    </row>
    <row r="13" spans="2:8" ht="17.25" thickBot="1" x14ac:dyDescent="0.35">
      <c r="C13" s="22">
        <f>DSUM($B$2:$F$8,5,C11:C12)</f>
        <v>3000</v>
      </c>
      <c r="D13" s="22">
        <f t="shared" ref="D13:E13" si="1">DSUM($B$2:$F$8,5,D11:D12)</f>
        <v>14000</v>
      </c>
      <c r="E13" s="22">
        <f t="shared" si="1"/>
        <v>9000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3"/>
  <sheetViews>
    <sheetView zoomScale="130" zoomScaleNormal="130" workbookViewId="0">
      <selection activeCell="E13" sqref="E13"/>
    </sheetView>
  </sheetViews>
  <sheetFormatPr defaultRowHeight="16.5" x14ac:dyDescent="0.3"/>
  <cols>
    <col min="1" max="1" width="1.375" style="1" customWidth="1"/>
    <col min="2" max="2" width="4.25" style="1" customWidth="1"/>
    <col min="3" max="3" width="9.125" style="1" customWidth="1"/>
    <col min="4" max="4" width="8.625" style="1" customWidth="1"/>
    <col min="5" max="6" width="8.125" style="1" customWidth="1"/>
    <col min="7" max="16384" width="9" style="1"/>
  </cols>
  <sheetData>
    <row r="1" spans="2:6" ht="19.5" customHeight="1" thickBot="1" x14ac:dyDescent="0.35">
      <c r="C1" s="36" t="s">
        <v>0</v>
      </c>
      <c r="D1" s="36"/>
      <c r="E1" s="36"/>
      <c r="F1" s="36"/>
    </row>
    <row r="2" spans="2:6" x14ac:dyDescent="0.3">
      <c r="B2" s="26" t="s">
        <v>1</v>
      </c>
      <c r="C2" s="27" t="s">
        <v>2</v>
      </c>
      <c r="D2" s="28" t="s">
        <v>3</v>
      </c>
      <c r="E2" s="28" t="s">
        <v>4</v>
      </c>
      <c r="F2" s="29" t="s">
        <v>5</v>
      </c>
    </row>
    <row r="3" spans="2:6" x14ac:dyDescent="0.3">
      <c r="B3" s="30">
        <v>1</v>
      </c>
      <c r="C3" s="15" t="s">
        <v>7</v>
      </c>
      <c r="D3" s="2">
        <v>10</v>
      </c>
      <c r="E3" s="14">
        <v>100</v>
      </c>
      <c r="F3" s="31">
        <f>E3*D3</f>
        <v>1000</v>
      </c>
    </row>
    <row r="4" spans="2:6" x14ac:dyDescent="0.3">
      <c r="B4" s="30">
        <v>1</v>
      </c>
      <c r="C4" s="15" t="s">
        <v>9</v>
      </c>
      <c r="D4" s="2">
        <v>20</v>
      </c>
      <c r="E4" s="14">
        <v>200</v>
      </c>
      <c r="F4" s="31">
        <f t="shared" ref="F4:F8" si="0">E4*D4</f>
        <v>4000</v>
      </c>
    </row>
    <row r="5" spans="2:6" x14ac:dyDescent="0.3">
      <c r="B5" s="30">
        <v>1</v>
      </c>
      <c r="C5" s="15" t="s">
        <v>10</v>
      </c>
      <c r="D5" s="2">
        <v>30</v>
      </c>
      <c r="E5" s="14">
        <v>300</v>
      </c>
      <c r="F5" s="31">
        <f t="shared" si="0"/>
        <v>9000</v>
      </c>
    </row>
    <row r="6" spans="2:6" x14ac:dyDescent="0.3">
      <c r="B6" s="30">
        <v>2</v>
      </c>
      <c r="C6" s="15" t="s">
        <v>7</v>
      </c>
      <c r="D6" s="2">
        <v>10</v>
      </c>
      <c r="E6" s="14">
        <v>100</v>
      </c>
      <c r="F6" s="31">
        <f t="shared" si="0"/>
        <v>1000</v>
      </c>
    </row>
    <row r="7" spans="2:6" x14ac:dyDescent="0.3">
      <c r="B7" s="30">
        <v>2</v>
      </c>
      <c r="C7" s="15" t="s">
        <v>9</v>
      </c>
      <c r="D7" s="2">
        <v>20</v>
      </c>
      <c r="E7" s="14">
        <v>200</v>
      </c>
      <c r="F7" s="31">
        <f t="shared" si="0"/>
        <v>4000</v>
      </c>
    </row>
    <row r="8" spans="2:6" ht="17.25" thickBot="1" x14ac:dyDescent="0.35">
      <c r="B8" s="32">
        <v>2</v>
      </c>
      <c r="C8" s="33" t="s">
        <v>10</v>
      </c>
      <c r="D8" s="34">
        <v>10</v>
      </c>
      <c r="E8" s="35">
        <v>300</v>
      </c>
      <c r="F8" s="31">
        <f t="shared" si="0"/>
        <v>3000</v>
      </c>
    </row>
    <row r="9" spans="2:6" ht="10.5" customHeight="1" x14ac:dyDescent="0.3">
      <c r="C9" s="24"/>
      <c r="D9" s="25"/>
      <c r="E9" s="25"/>
      <c r="F9" s="10"/>
    </row>
    <row r="10" spans="2:6" ht="17.25" thickBot="1" x14ac:dyDescent="0.35">
      <c r="C10" s="37" t="s">
        <v>12</v>
      </c>
      <c r="D10" s="37"/>
      <c r="E10" s="37"/>
    </row>
    <row r="11" spans="2:6" x14ac:dyDescent="0.3">
      <c r="C11" s="9" t="s">
        <v>2</v>
      </c>
      <c r="D11" s="8" t="s">
        <v>2</v>
      </c>
      <c r="E11" s="7" t="s">
        <v>2</v>
      </c>
    </row>
    <row r="12" spans="2:6" x14ac:dyDescent="0.3">
      <c r="C12" s="20" t="s">
        <v>7</v>
      </c>
      <c r="D12" s="19" t="s">
        <v>9</v>
      </c>
      <c r="E12" s="21" t="s">
        <v>10</v>
      </c>
    </row>
    <row r="13" spans="2:6" ht="17.25" thickBot="1" x14ac:dyDescent="0.35">
      <c r="C13" s="23">
        <f>DAVERAGE($B$2:$F$8,5,C11:C12)</f>
        <v>1000</v>
      </c>
      <c r="D13" s="23">
        <f t="shared" ref="D13:E13" si="1">DAVERAGE($B$2:$F$8,5,D11:D12)</f>
        <v>4000</v>
      </c>
      <c r="E13" s="23">
        <f t="shared" si="1"/>
        <v>6000</v>
      </c>
    </row>
  </sheetData>
  <mergeCells count="2">
    <mergeCell ref="C1:F1"/>
    <mergeCell ref="C10:E10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3"/>
  <sheetViews>
    <sheetView zoomScale="145" zoomScaleNormal="145" workbookViewId="0">
      <selection activeCell="C13" sqref="C13:E13"/>
    </sheetView>
  </sheetViews>
  <sheetFormatPr defaultRowHeight="16.5" x14ac:dyDescent="0.3"/>
  <cols>
    <col min="1" max="1" width="1.375" style="1" customWidth="1"/>
    <col min="2" max="2" width="4.25" style="1" customWidth="1"/>
    <col min="3" max="3" width="9.125" style="1" customWidth="1"/>
    <col min="4" max="4" width="8.625" style="1" customWidth="1"/>
    <col min="5" max="6" width="8.125" style="1" customWidth="1"/>
    <col min="7" max="16384" width="9" style="1"/>
  </cols>
  <sheetData>
    <row r="1" spans="2:6" ht="19.5" customHeight="1" x14ac:dyDescent="0.3">
      <c r="C1" s="36" t="s">
        <v>0</v>
      </c>
      <c r="D1" s="36"/>
      <c r="E1" s="36"/>
      <c r="F1" s="36"/>
    </row>
    <row r="2" spans="2:6" x14ac:dyDescent="0.3">
      <c r="B2" s="17" t="s">
        <v>1</v>
      </c>
      <c r="C2" s="17" t="s">
        <v>2</v>
      </c>
      <c r="D2" s="3" t="s">
        <v>3</v>
      </c>
      <c r="E2" s="3" t="s">
        <v>4</v>
      </c>
      <c r="F2" s="16" t="s">
        <v>5</v>
      </c>
    </row>
    <row r="3" spans="2:6" x14ac:dyDescent="0.3">
      <c r="B3" s="15">
        <v>1</v>
      </c>
      <c r="C3" s="15" t="s">
        <v>7</v>
      </c>
      <c r="D3" s="2">
        <v>10</v>
      </c>
      <c r="E3" s="14">
        <v>100</v>
      </c>
      <c r="F3" s="13">
        <f>E3*D3</f>
        <v>1000</v>
      </c>
    </row>
    <row r="4" spans="2:6" x14ac:dyDescent="0.3">
      <c r="B4" s="15">
        <v>1</v>
      </c>
      <c r="C4" s="15" t="s">
        <v>9</v>
      </c>
      <c r="D4" s="2">
        <v>20</v>
      </c>
      <c r="E4" s="14">
        <v>200</v>
      </c>
      <c r="F4" s="13">
        <f t="shared" ref="F4:F8" si="0">E4*D4</f>
        <v>4000</v>
      </c>
    </row>
    <row r="5" spans="2:6" x14ac:dyDescent="0.3">
      <c r="B5" s="15">
        <v>1</v>
      </c>
      <c r="C5" s="15" t="s">
        <v>9</v>
      </c>
      <c r="D5" s="2">
        <v>30</v>
      </c>
      <c r="E5" s="14">
        <v>200</v>
      </c>
      <c r="F5" s="13">
        <f t="shared" si="0"/>
        <v>6000</v>
      </c>
    </row>
    <row r="6" spans="2:6" x14ac:dyDescent="0.3">
      <c r="B6" s="15">
        <v>2</v>
      </c>
      <c r="C6" s="15" t="s">
        <v>7</v>
      </c>
      <c r="D6" s="2">
        <v>20</v>
      </c>
      <c r="E6" s="14">
        <v>100</v>
      </c>
      <c r="F6" s="13">
        <f t="shared" si="0"/>
        <v>2000</v>
      </c>
    </row>
    <row r="7" spans="2:6" x14ac:dyDescent="0.3">
      <c r="B7" s="15">
        <v>2</v>
      </c>
      <c r="C7" s="15" t="s">
        <v>9</v>
      </c>
      <c r="D7" s="2">
        <v>20</v>
      </c>
      <c r="E7" s="14">
        <v>200</v>
      </c>
      <c r="F7" s="13">
        <f t="shared" si="0"/>
        <v>4000</v>
      </c>
    </row>
    <row r="8" spans="2:6" x14ac:dyDescent="0.3">
      <c r="B8" s="15">
        <v>2</v>
      </c>
      <c r="C8" s="15" t="s">
        <v>10</v>
      </c>
      <c r="D8" s="2">
        <v>30</v>
      </c>
      <c r="E8" s="14">
        <v>300</v>
      </c>
      <c r="F8" s="13">
        <f t="shared" si="0"/>
        <v>9000</v>
      </c>
    </row>
    <row r="9" spans="2:6" ht="10.5" customHeight="1" x14ac:dyDescent="0.3">
      <c r="C9" s="12"/>
      <c r="D9" s="11"/>
      <c r="E9" s="11"/>
      <c r="F9" s="10"/>
    </row>
    <row r="10" spans="2:6" ht="17.25" thickBot="1" x14ac:dyDescent="0.35">
      <c r="C10" s="38" t="s">
        <v>13</v>
      </c>
      <c r="D10" s="38"/>
      <c r="E10" s="38"/>
    </row>
    <row r="11" spans="2:6" x14ac:dyDescent="0.3">
      <c r="C11" s="9" t="s">
        <v>2</v>
      </c>
      <c r="D11" s="8" t="s">
        <v>2</v>
      </c>
      <c r="E11" s="7" t="s">
        <v>2</v>
      </c>
    </row>
    <row r="12" spans="2:6" ht="17.25" thickBot="1" x14ac:dyDescent="0.35">
      <c r="C12" s="6" t="s">
        <v>7</v>
      </c>
      <c r="D12" s="5" t="s">
        <v>9</v>
      </c>
      <c r="E12" s="4" t="s">
        <v>10</v>
      </c>
    </row>
    <row r="13" spans="2:6" ht="17.25" thickBot="1" x14ac:dyDescent="0.35">
      <c r="C13" s="18">
        <f>DMAX($B$2:$F$8,5,C11:C12)</f>
        <v>2000</v>
      </c>
      <c r="D13" s="18">
        <f t="shared" ref="D13:E13" si="1">DMAX($B$2:$F$8,5,D11:D12)</f>
        <v>6000</v>
      </c>
      <c r="E13" s="18">
        <f t="shared" si="1"/>
        <v>9000</v>
      </c>
    </row>
  </sheetData>
  <mergeCells count="2">
    <mergeCell ref="C1:F1"/>
    <mergeCell ref="C10:E10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13"/>
  <sheetViews>
    <sheetView zoomScale="145" zoomScaleNormal="145" workbookViewId="0">
      <selection activeCell="C13" sqref="C13:E13"/>
    </sheetView>
  </sheetViews>
  <sheetFormatPr defaultRowHeight="16.5" x14ac:dyDescent="0.3"/>
  <cols>
    <col min="1" max="1" width="1.375" style="1" customWidth="1"/>
    <col min="2" max="2" width="4.25" style="1" customWidth="1"/>
    <col min="3" max="3" width="9.125" style="1" customWidth="1"/>
    <col min="4" max="4" width="8.625" style="1" customWidth="1"/>
    <col min="5" max="6" width="8.125" style="1" customWidth="1"/>
    <col min="7" max="16384" width="9" style="1"/>
  </cols>
  <sheetData>
    <row r="1" spans="2:6" ht="19.5" customHeight="1" x14ac:dyDescent="0.3">
      <c r="C1" s="36" t="s">
        <v>0</v>
      </c>
      <c r="D1" s="36"/>
      <c r="E1" s="36"/>
      <c r="F1" s="36"/>
    </row>
    <row r="2" spans="2:6" x14ac:dyDescent="0.3">
      <c r="B2" s="17" t="s">
        <v>1</v>
      </c>
      <c r="C2" s="17" t="s">
        <v>2</v>
      </c>
      <c r="D2" s="3" t="s">
        <v>3</v>
      </c>
      <c r="E2" s="3" t="s">
        <v>4</v>
      </c>
      <c r="F2" s="16" t="s">
        <v>5</v>
      </c>
    </row>
    <row r="3" spans="2:6" x14ac:dyDescent="0.3">
      <c r="B3" s="15">
        <v>1</v>
      </c>
      <c r="C3" s="15" t="s">
        <v>7</v>
      </c>
      <c r="D3" s="2">
        <v>10</v>
      </c>
      <c r="E3" s="14">
        <v>100</v>
      </c>
      <c r="F3" s="13">
        <f>E3*D3</f>
        <v>1000</v>
      </c>
    </row>
    <row r="4" spans="2:6" x14ac:dyDescent="0.3">
      <c r="B4" s="15">
        <v>1</v>
      </c>
      <c r="C4" s="15" t="s">
        <v>9</v>
      </c>
      <c r="D4" s="2">
        <v>20</v>
      </c>
      <c r="E4" s="14">
        <v>200</v>
      </c>
      <c r="F4" s="13">
        <f t="shared" ref="F4:F8" si="0">E4*D4</f>
        <v>4000</v>
      </c>
    </row>
    <row r="5" spans="2:6" x14ac:dyDescent="0.3">
      <c r="B5" s="15">
        <v>1</v>
      </c>
      <c r="C5" s="15" t="s">
        <v>9</v>
      </c>
      <c r="D5" s="2">
        <v>30</v>
      </c>
      <c r="E5" s="14">
        <v>200</v>
      </c>
      <c r="F5" s="13">
        <f t="shared" si="0"/>
        <v>6000</v>
      </c>
    </row>
    <row r="6" spans="2:6" x14ac:dyDescent="0.3">
      <c r="B6" s="15">
        <v>2</v>
      </c>
      <c r="C6" s="15" t="s">
        <v>7</v>
      </c>
      <c r="D6" s="2">
        <v>20</v>
      </c>
      <c r="E6" s="14">
        <v>100</v>
      </c>
      <c r="F6" s="13">
        <f t="shared" si="0"/>
        <v>2000</v>
      </c>
    </row>
    <row r="7" spans="2:6" x14ac:dyDescent="0.3">
      <c r="B7" s="15">
        <v>2</v>
      </c>
      <c r="C7" s="15" t="s">
        <v>9</v>
      </c>
      <c r="D7" s="2">
        <v>20</v>
      </c>
      <c r="E7" s="14">
        <v>200</v>
      </c>
      <c r="F7" s="13">
        <f t="shared" si="0"/>
        <v>4000</v>
      </c>
    </row>
    <row r="8" spans="2:6" x14ac:dyDescent="0.3">
      <c r="B8" s="15">
        <v>2</v>
      </c>
      <c r="C8" s="15" t="s">
        <v>10</v>
      </c>
      <c r="D8" s="2">
        <v>30</v>
      </c>
      <c r="E8" s="14">
        <v>300</v>
      </c>
      <c r="F8" s="13">
        <f t="shared" si="0"/>
        <v>9000</v>
      </c>
    </row>
    <row r="9" spans="2:6" ht="10.5" customHeight="1" x14ac:dyDescent="0.3">
      <c r="C9" s="12"/>
      <c r="D9" s="11"/>
      <c r="E9" s="11"/>
      <c r="F9" s="10"/>
    </row>
    <row r="10" spans="2:6" ht="17.25" thickBot="1" x14ac:dyDescent="0.35">
      <c r="C10" s="38" t="s">
        <v>14</v>
      </c>
      <c r="D10" s="38"/>
      <c r="E10" s="38"/>
    </row>
    <row r="11" spans="2:6" x14ac:dyDescent="0.3">
      <c r="C11" s="9" t="s">
        <v>2</v>
      </c>
      <c r="D11" s="8" t="s">
        <v>2</v>
      </c>
      <c r="E11" s="7" t="s">
        <v>2</v>
      </c>
    </row>
    <row r="12" spans="2:6" ht="17.25" thickBot="1" x14ac:dyDescent="0.35">
      <c r="C12" s="6" t="s">
        <v>7</v>
      </c>
      <c r="D12" s="5" t="s">
        <v>9</v>
      </c>
      <c r="E12" s="4" t="s">
        <v>10</v>
      </c>
    </row>
    <row r="13" spans="2:6" ht="17.25" thickBot="1" x14ac:dyDescent="0.35">
      <c r="C13" s="18">
        <f>DMIN($B$2:$F$8,5,C11:C12)</f>
        <v>1000</v>
      </c>
      <c r="D13" s="18">
        <f t="shared" ref="D13:E13" si="1">DMIN($B$2:$F$8,5,D11:D12)</f>
        <v>4000</v>
      </c>
      <c r="E13" s="18">
        <f t="shared" si="1"/>
        <v>9000</v>
      </c>
    </row>
  </sheetData>
  <mergeCells count="2">
    <mergeCell ref="C1:F1"/>
    <mergeCell ref="C10:E10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F13"/>
  <sheetViews>
    <sheetView zoomScale="250" zoomScaleNormal="250" workbookViewId="0">
      <selection activeCell="C13" sqref="C13"/>
    </sheetView>
  </sheetViews>
  <sheetFormatPr defaultRowHeight="16.5" x14ac:dyDescent="0.3"/>
  <cols>
    <col min="1" max="1" width="1.375" style="1" customWidth="1"/>
    <col min="2" max="2" width="4.25" style="1" customWidth="1"/>
    <col min="3" max="3" width="9.125" style="1" customWidth="1"/>
    <col min="4" max="4" width="8.625" style="1" customWidth="1"/>
    <col min="5" max="6" width="8.125" style="1" customWidth="1"/>
    <col min="7" max="16384" width="9" style="1"/>
  </cols>
  <sheetData>
    <row r="1" spans="2:6" ht="19.5" customHeight="1" x14ac:dyDescent="0.3">
      <c r="C1" s="36" t="s">
        <v>0</v>
      </c>
      <c r="D1" s="36"/>
      <c r="E1" s="36"/>
      <c r="F1" s="36"/>
    </row>
    <row r="2" spans="2:6" x14ac:dyDescent="0.3">
      <c r="B2" s="17" t="s">
        <v>1</v>
      </c>
      <c r="C2" s="17" t="s">
        <v>2</v>
      </c>
      <c r="D2" s="3" t="s">
        <v>3</v>
      </c>
      <c r="E2" s="3" t="s">
        <v>4</v>
      </c>
      <c r="F2" s="16" t="s">
        <v>5</v>
      </c>
    </row>
    <row r="3" spans="2:6" x14ac:dyDescent="0.3">
      <c r="B3" s="15">
        <v>1</v>
      </c>
      <c r="C3" s="15" t="s">
        <v>7</v>
      </c>
      <c r="D3" s="2">
        <v>10</v>
      </c>
      <c r="E3" s="14">
        <v>100</v>
      </c>
      <c r="F3" s="13">
        <f>E3*D3</f>
        <v>1000</v>
      </c>
    </row>
    <row r="4" spans="2:6" x14ac:dyDescent="0.3">
      <c r="B4" s="15">
        <v>1</v>
      </c>
      <c r="C4" s="15" t="s">
        <v>9</v>
      </c>
      <c r="D4" s="2">
        <v>20</v>
      </c>
      <c r="E4" s="14">
        <v>200</v>
      </c>
      <c r="F4" s="13">
        <f t="shared" ref="F4:F8" si="0">E4*D4</f>
        <v>4000</v>
      </c>
    </row>
    <row r="5" spans="2:6" x14ac:dyDescent="0.3">
      <c r="B5" s="15">
        <v>1</v>
      </c>
      <c r="C5" s="15" t="s">
        <v>9</v>
      </c>
      <c r="D5" s="2" t="s">
        <v>15</v>
      </c>
      <c r="E5" s="2" t="s">
        <v>15</v>
      </c>
      <c r="F5" s="13" t="e">
        <f t="shared" si="0"/>
        <v>#VALUE!</v>
      </c>
    </row>
    <row r="6" spans="2:6" x14ac:dyDescent="0.3">
      <c r="B6" s="15">
        <v>2</v>
      </c>
      <c r="C6" s="15" t="s">
        <v>7</v>
      </c>
      <c r="D6" s="2">
        <v>10</v>
      </c>
      <c r="E6" s="14">
        <v>100</v>
      </c>
      <c r="F6" s="13">
        <f t="shared" si="0"/>
        <v>1000</v>
      </c>
    </row>
    <row r="7" spans="2:6" x14ac:dyDescent="0.3">
      <c r="B7" s="15">
        <v>2</v>
      </c>
      <c r="C7" s="15" t="s">
        <v>9</v>
      </c>
      <c r="D7" s="2">
        <v>20</v>
      </c>
      <c r="E7" s="14">
        <v>200</v>
      </c>
      <c r="F7" s="13">
        <f t="shared" si="0"/>
        <v>4000</v>
      </c>
    </row>
    <row r="8" spans="2:6" x14ac:dyDescent="0.3">
      <c r="B8" s="15">
        <v>2</v>
      </c>
      <c r="C8" s="15" t="s">
        <v>10</v>
      </c>
      <c r="D8" s="2">
        <v>10</v>
      </c>
      <c r="E8" s="14">
        <v>300</v>
      </c>
      <c r="F8" s="13">
        <f t="shared" si="0"/>
        <v>3000</v>
      </c>
    </row>
    <row r="9" spans="2:6" ht="10.5" customHeight="1" x14ac:dyDescent="0.3">
      <c r="C9" s="12"/>
      <c r="D9" s="11"/>
      <c r="E9" s="11"/>
      <c r="F9" s="10"/>
    </row>
    <row r="10" spans="2:6" ht="17.25" thickBot="1" x14ac:dyDescent="0.35">
      <c r="C10" s="38" t="s">
        <v>16</v>
      </c>
      <c r="D10" s="38"/>
      <c r="E10" s="38"/>
    </row>
    <row r="11" spans="2:6" x14ac:dyDescent="0.3">
      <c r="C11" s="9" t="s">
        <v>2</v>
      </c>
      <c r="D11" s="8" t="s">
        <v>2</v>
      </c>
      <c r="E11" s="7" t="s">
        <v>2</v>
      </c>
    </row>
    <row r="12" spans="2:6" ht="17.25" thickBot="1" x14ac:dyDescent="0.35">
      <c r="C12" s="6" t="s">
        <v>7</v>
      </c>
      <c r="D12" s="5" t="s">
        <v>9</v>
      </c>
      <c r="E12" s="4" t="s">
        <v>10</v>
      </c>
    </row>
    <row r="13" spans="2:6" ht="17.25" thickBot="1" x14ac:dyDescent="0.35">
      <c r="C13" s="18">
        <f>DCOUNT($B$2:$F$8,5,C11:C12)</f>
        <v>2</v>
      </c>
      <c r="D13" s="18">
        <f>DCOUNT($B$2:$F$8,5,D11:D12)</f>
        <v>2</v>
      </c>
      <c r="E13" s="18">
        <f>DCOUNT($B$2:$F$8,5,E11:E12)</f>
        <v>1</v>
      </c>
    </row>
  </sheetData>
  <mergeCells count="2">
    <mergeCell ref="C1:F1"/>
    <mergeCell ref="C10:E10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topLeftCell="A2" zoomScale="250" zoomScaleNormal="250" workbookViewId="0">
      <selection activeCell="G10" sqref="G10"/>
    </sheetView>
  </sheetViews>
  <sheetFormatPr defaultRowHeight="16.5" x14ac:dyDescent="0.3"/>
  <cols>
    <col min="1" max="1" width="1.375" style="1" customWidth="1"/>
    <col min="2" max="2" width="4.25" style="1" customWidth="1"/>
    <col min="3" max="3" width="9.125" style="1" customWidth="1"/>
    <col min="4" max="4" width="8.625" style="1" customWidth="1"/>
    <col min="5" max="6" width="8.125" style="1" customWidth="1"/>
    <col min="7" max="16384" width="9" style="1"/>
  </cols>
  <sheetData>
    <row r="1" spans="2:6" ht="19.5" customHeight="1" x14ac:dyDescent="0.3">
      <c r="C1" s="36" t="s">
        <v>0</v>
      </c>
      <c r="D1" s="36"/>
      <c r="E1" s="36"/>
      <c r="F1" s="36"/>
    </row>
    <row r="2" spans="2:6" x14ac:dyDescent="0.3">
      <c r="B2" s="17" t="s">
        <v>1</v>
      </c>
      <c r="C2" s="17" t="s">
        <v>2</v>
      </c>
      <c r="D2" s="3" t="s">
        <v>17</v>
      </c>
      <c r="E2" s="3" t="s">
        <v>4</v>
      </c>
      <c r="F2" s="16" t="s">
        <v>5</v>
      </c>
    </row>
    <row r="3" spans="2:6" x14ac:dyDescent="0.3">
      <c r="B3" s="15">
        <v>1</v>
      </c>
      <c r="C3" s="15" t="s">
        <v>7</v>
      </c>
      <c r="D3" s="2">
        <v>10</v>
      </c>
      <c r="E3" s="14">
        <v>100</v>
      </c>
      <c r="F3" s="13">
        <f t="shared" ref="F3:F8" si="0">D3*E3</f>
        <v>1000</v>
      </c>
    </row>
    <row r="4" spans="2:6" x14ac:dyDescent="0.3">
      <c r="B4" s="15">
        <v>1</v>
      </c>
      <c r="C4" s="15" t="s">
        <v>9</v>
      </c>
      <c r="D4" s="2">
        <v>20</v>
      </c>
      <c r="E4" s="14">
        <v>200</v>
      </c>
      <c r="F4" s="13">
        <f t="shared" si="0"/>
        <v>4000</v>
      </c>
    </row>
    <row r="5" spans="2:6" x14ac:dyDescent="0.3">
      <c r="B5" s="15">
        <v>1</v>
      </c>
      <c r="C5" s="15" t="s">
        <v>9</v>
      </c>
      <c r="D5" s="2">
        <v>30</v>
      </c>
      <c r="E5" s="14">
        <v>200</v>
      </c>
      <c r="F5" s="13">
        <f t="shared" si="0"/>
        <v>6000</v>
      </c>
    </row>
    <row r="6" spans="2:6" x14ac:dyDescent="0.3">
      <c r="B6" s="15">
        <v>2</v>
      </c>
      <c r="C6" s="15" t="s">
        <v>7</v>
      </c>
      <c r="D6" s="2">
        <v>10</v>
      </c>
      <c r="E6" s="14">
        <v>100</v>
      </c>
      <c r="F6" s="13">
        <f t="shared" si="0"/>
        <v>1000</v>
      </c>
    </row>
    <row r="7" spans="2:6" x14ac:dyDescent="0.3">
      <c r="B7" s="15">
        <v>2</v>
      </c>
      <c r="C7" s="15" t="s">
        <v>9</v>
      </c>
      <c r="D7" s="2">
        <v>20</v>
      </c>
      <c r="E7" s="14">
        <v>200</v>
      </c>
      <c r="F7" s="13">
        <f t="shared" si="0"/>
        <v>4000</v>
      </c>
    </row>
    <row r="8" spans="2:6" x14ac:dyDescent="0.3">
      <c r="B8" s="15">
        <v>2</v>
      </c>
      <c r="C8" s="15" t="s">
        <v>10</v>
      </c>
      <c r="D8" s="2">
        <v>10</v>
      </c>
      <c r="E8" s="14">
        <v>300</v>
      </c>
      <c r="F8" s="13">
        <f t="shared" si="0"/>
        <v>3000</v>
      </c>
    </row>
    <row r="9" spans="2:6" ht="10.5" customHeight="1" x14ac:dyDescent="0.3">
      <c r="C9" s="12"/>
      <c r="D9" s="11"/>
      <c r="E9" s="11"/>
      <c r="F9" s="10"/>
    </row>
    <row r="10" spans="2:6" ht="17.25" thickBot="1" x14ac:dyDescent="0.35">
      <c r="C10" s="37" t="s">
        <v>18</v>
      </c>
      <c r="D10" s="37"/>
      <c r="E10" s="37"/>
    </row>
    <row r="11" spans="2:6" x14ac:dyDescent="0.3">
      <c r="C11" s="9" t="s">
        <v>2</v>
      </c>
      <c r="D11" s="8" t="s">
        <v>2</v>
      </c>
      <c r="E11" s="7" t="s">
        <v>2</v>
      </c>
    </row>
    <row r="12" spans="2:6" x14ac:dyDescent="0.3">
      <c r="C12" s="20" t="s">
        <v>7</v>
      </c>
      <c r="D12" s="19" t="s">
        <v>9</v>
      </c>
      <c r="E12" s="21" t="s">
        <v>10</v>
      </c>
    </row>
    <row r="13" spans="2:6" ht="17.25" thickBot="1" x14ac:dyDescent="0.35">
      <c r="C13" s="23">
        <f>DCOUNTA($B$2:$F$8,5,C11:C12)</f>
        <v>2</v>
      </c>
      <c r="D13" s="23">
        <f>DCOUNTA($B$2:$F$8,5,D11:D12)</f>
        <v>3</v>
      </c>
      <c r="E13" s="23">
        <f>DCOUNTA($B$2:$F$8,5,E11:E12)</f>
        <v>1</v>
      </c>
    </row>
  </sheetData>
  <mergeCells count="2">
    <mergeCell ref="C1:F1"/>
    <mergeCell ref="C10:E10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DSUM</vt:lpstr>
      <vt:lpstr>DAVERAGE</vt:lpstr>
      <vt:lpstr>DMAX</vt:lpstr>
      <vt:lpstr>DMIN</vt:lpstr>
      <vt:lpstr>DCOUNT</vt:lpstr>
      <vt:lpstr>DCOUNTA</vt:lpstr>
    </vt:vector>
  </TitlesOfParts>
  <Manager/>
  <Company>길벗R&amp;D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김종일</dc:creator>
  <cp:keywords/>
  <dc:description/>
  <cp:lastModifiedBy>School</cp:lastModifiedBy>
  <cp:revision/>
  <dcterms:created xsi:type="dcterms:W3CDTF">2011-06-14T11:49:17Z</dcterms:created>
  <dcterms:modified xsi:type="dcterms:W3CDTF">2021-09-07T02:52:51Z</dcterms:modified>
  <cp:category/>
  <cp:contentStatus/>
</cp:coreProperties>
</file>